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Ds Overview " sheetId="1" r:id="rId5"/>
    <sheet state="visible" name="Infosys " sheetId="2" r:id="rId6"/>
    <sheet state="visible" name="Allstate " sheetId="3" r:id="rId7"/>
    <sheet state="visible" name="Go High level" sheetId="4" r:id="rId8"/>
    <sheet state="visible" name="First Source" sheetId="5" r:id="rId9"/>
    <sheet state="visible" name="Asian Paints " sheetId="6" r:id="rId10"/>
    <sheet state="visible" name="Wipro" sheetId="7" r:id="rId11"/>
    <sheet state="visible" name="Axis Max Life" sheetId="8" r:id="rId12"/>
    <sheet state="visible" name="Dell" sheetId="9" r:id="rId13"/>
    <sheet state="visible" name="Broadridge" sheetId="10" r:id="rId14"/>
    <sheet state="visible" name="Titan" sheetId="11" r:id="rId15"/>
    <sheet state="visible" name="Indigo" sheetId="12" r:id="rId16"/>
    <sheet state="visible" name="Sheet13" sheetId="13" r:id="rId17"/>
  </sheets>
  <definedNames/>
  <calcPr/>
</workbook>
</file>

<file path=xl/sharedStrings.xml><?xml version="1.0" encoding="utf-8"?>
<sst xmlns="http://schemas.openxmlformats.org/spreadsheetml/2006/main" count="733" uniqueCount="227">
  <si>
    <t>Google Form</t>
  </si>
  <si>
    <t xml:space="preserve">  </t>
  </si>
  <si>
    <t>JD Type</t>
  </si>
  <si>
    <t xml:space="preserve">SPOC </t>
  </si>
  <si>
    <t>JD title with Link</t>
  </si>
  <si>
    <t>JD Status</t>
  </si>
  <si>
    <t>Experience required</t>
  </si>
  <si>
    <t>Location</t>
  </si>
  <si>
    <t>No. of Profiles shared</t>
  </si>
  <si>
    <t/>
  </si>
  <si>
    <t>Asian Paints</t>
  </si>
  <si>
    <t>Tech</t>
  </si>
  <si>
    <t>2–5 years (L2 networking support)</t>
  </si>
  <si>
    <t>Head Office</t>
  </si>
  <si>
    <t>Not specified in JD</t>
  </si>
  <si>
    <t>1–2 years (preferred)</t>
  </si>
  <si>
    <t>Non Tech</t>
  </si>
  <si>
    <t>JD - Sales Administration Executive.docx</t>
  </si>
  <si>
    <t>JD - Commercial Executive - Sales &amp; Warehouse Operations.docx</t>
  </si>
  <si>
    <t>1–5 years</t>
  </si>
  <si>
    <t>Mumbai</t>
  </si>
  <si>
    <t>3+ years (supply chain / distribution)</t>
  </si>
  <si>
    <t>Vakola (Mumbai)</t>
  </si>
  <si>
    <t>Corporate Office</t>
  </si>
  <si>
    <t>1–2 years (accounting)</t>
  </si>
  <si>
    <t>1–3 years</t>
  </si>
  <si>
    <t>Head Office (Supply Chain)</t>
  </si>
  <si>
    <t>1–3 years (commercial / purchase)</t>
  </si>
  <si>
    <t>Corporate Office – Vakola</t>
  </si>
  <si>
    <t>Trainee (experience not specified)</t>
  </si>
  <si>
    <t>Plants: Kasna, Rohtak, Bhandup, Khandala, Ankleshwar, Sriperumbudur, Patancheru</t>
  </si>
  <si>
    <t>Fresher (no experience required at Executive-I level)</t>
  </si>
  <si>
    <t>Vakola</t>
  </si>
  <si>
    <t>5–6 years (minimum)</t>
  </si>
  <si>
    <t>Head Office – Vakola</t>
  </si>
  <si>
    <t>Fresher</t>
  </si>
  <si>
    <t>1–3 years (export / import handling)</t>
  </si>
  <si>
    <t>1 year (fresher also fine)</t>
  </si>
  <si>
    <t>0–3 years</t>
  </si>
  <si>
    <t>Head Office, Vakola, Mumbai</t>
  </si>
  <si>
    <t>Allstate</t>
  </si>
  <si>
    <t>4–10 years</t>
  </si>
  <si>
    <t>Bangalore / Pune</t>
  </si>
  <si>
    <t>Java Fullstack (1).pdf</t>
  </si>
  <si>
    <t>Firstsource</t>
  </si>
  <si>
    <t>Company Name</t>
  </si>
  <si>
    <t>SPOC</t>
  </si>
  <si>
    <t>Axis Max Life Insurance</t>
  </si>
  <si>
    <t>Not specified in JD (data/process insighting roles an advantage)</t>
  </si>
  <si>
    <t>7–8 years (business reporting teams)</t>
  </si>
  <si>
    <t>5–8 years (DLP, DRM, data classification, privacy)</t>
  </si>
  <si>
    <t>3–5 years (ML, model validation, AI risk)</t>
  </si>
  <si>
    <t>4–6 years (customer escalation / CAPA)</t>
  </si>
  <si>
    <t>3–7 years (min. 5 yrs in life insurance onboarding controls)</t>
  </si>
  <si>
    <t>8–12 years (analytics / business planning, BFSI)</t>
  </si>
  <si>
    <t>7–10 years (life insurance ops / business analysis)</t>
  </si>
  <si>
    <t>10–12 years (insurance, team handling)</t>
  </si>
  <si>
    <t>7–15 years (insurance; Ingenium knowledge)</t>
  </si>
  <si>
    <t>1–2 yrs (Sr. Associate); 2–3 yrs (Asst. Manager)</t>
  </si>
  <si>
    <t>1–2 years (business planning, analytics, retail ops)</t>
  </si>
  <si>
    <t>4–5 years (business planning, analytics, retail ops)</t>
  </si>
  <si>
    <t>1–2 years (front-end customer service)</t>
  </si>
  <si>
    <t>2–3 years (front-end customer service)</t>
  </si>
  <si>
    <t>5–7 years (front-end customer service)</t>
  </si>
  <si>
    <t>8+ years (Lean Six Sigma Black Belt mandatory, BFSI)</t>
  </si>
  <si>
    <t>Not specified in JD (graduate; prior insurance / customer service preferred)</t>
  </si>
  <si>
    <t>2–5 years (Ingenium functional)</t>
  </si>
  <si>
    <t>2–3 years (Core Java, Spring Boot)</t>
  </si>
  <si>
    <t>12+ years (7+ yrs cloud migration)</t>
  </si>
  <si>
    <t>5–7 years (product mgmt, system design)</t>
  </si>
  <si>
    <t>Google form</t>
  </si>
  <si>
    <t>Titan</t>
  </si>
  <si>
    <t>3–5 years (software dev, automation, integration)</t>
  </si>
  <si>
    <t>5+ years (SAP MM consulting)</t>
  </si>
  <si>
    <t>Infosys</t>
  </si>
  <si>
    <t>Freshers and experienced candidates can apply</t>
  </si>
  <si>
    <t>GoHighLevel</t>
  </si>
  <si>
    <t>JD_ SDE2 Fullstack CRM - Shwetha C.pdf</t>
  </si>
  <si>
    <t>3–5 years</t>
  </si>
  <si>
    <t>Remote</t>
  </si>
  <si>
    <t>2–4 years; 2 PM–11 PM IST shift</t>
  </si>
  <si>
    <t>Dell</t>
  </si>
  <si>
    <t>Tech &amp; Non-Tech</t>
  </si>
  <si>
    <t>Internships: BTech students graduating 2028; full-time roles: graduating 2027; minimum 60% / 6 CGPA in Class 10, Class 12 and graduation; eligible branches: BTech (Computer Science and related), BCA, BSc, BBA</t>
  </si>
  <si>
    <t>Bangalore</t>
  </si>
  <si>
    <t>5–8 years; 1 opening</t>
  </si>
  <si>
    <t>Indigo</t>
  </si>
  <si>
    <t>4–6 years; 1 opening</t>
  </si>
  <si>
    <t>Gurugram</t>
  </si>
  <si>
    <t>Wipro</t>
  </si>
  <si>
    <t>Fresh graduates only; immediate joiners preferred. Any graduate; final-year, pursuing, and results-pending candidates are not eligible. Rotational shifts, including nights; 5-day week with rotational week-offs.</t>
  </si>
  <si>
    <t>Bengaluru (Work from Office)</t>
  </si>
  <si>
    <t>Blue Collor</t>
  </si>
  <si>
    <t>Timestamp</t>
  </si>
  <si>
    <t>Job Role</t>
  </si>
  <si>
    <t>Name</t>
  </si>
  <si>
    <t>Mail id</t>
  </si>
  <si>
    <t>Contact No</t>
  </si>
  <si>
    <t>Current Organization</t>
  </si>
  <si>
    <t>Relevant experience in years</t>
  </si>
  <si>
    <t>Relevant Skillset</t>
  </si>
  <si>
    <t>Disability Type</t>
  </si>
  <si>
    <t>Disability%</t>
  </si>
  <si>
    <t>Current location</t>
  </si>
  <si>
    <t>Preferred Relocation</t>
  </si>
  <si>
    <t>Current ctc</t>
  </si>
  <si>
    <t>Expected ctc</t>
  </si>
  <si>
    <t>Notice Period</t>
  </si>
  <si>
    <t>Full Address</t>
  </si>
  <si>
    <t>Upload cv</t>
  </si>
  <si>
    <t>Column 1</t>
  </si>
  <si>
    <t>Finance &amp; Accounting Associate – Bangalore</t>
  </si>
  <si>
    <t>Abin Shaji</t>
  </si>
  <si>
    <t>abinshajik4@gmail.com</t>
  </si>
  <si>
    <t>Diageo</t>
  </si>
  <si>
    <t>3-5 years</t>
  </si>
  <si>
    <t>Data Analysis/Reporting, Cross-functional Team Collaboration, Problem Solving/Troubleshooting</t>
  </si>
  <si>
    <t>Locomotor disability</t>
  </si>
  <si>
    <t>Bangalore, Kochi</t>
  </si>
  <si>
    <t>15 Days</t>
  </si>
  <si>
    <t>https://drive.google.com/open?id=1NfYpuM7su0Jzpywy9MkTa-4toMWzYNil</t>
  </si>
  <si>
    <t>Good we can share and added in group</t>
  </si>
  <si>
    <t>Naveen S</t>
  </si>
  <si>
    <t>ichowdary009@gmail.com</t>
  </si>
  <si>
    <t>Base education pvt Ltd</t>
  </si>
  <si>
    <t>1-3 years</t>
  </si>
  <si>
    <t>Technical Documentation, Client Communication, Data Analysis/Reporting, Cross-functional Team Collaboration, Problem Solving/Troubleshooting</t>
  </si>
  <si>
    <t>Locomotive</t>
  </si>
  <si>
    <t>Benguluru</t>
  </si>
  <si>
    <t>Bengaluru</t>
  </si>
  <si>
    <t>30 Days</t>
  </si>
  <si>
    <t>https://drive.google.com/open?id=10uwG35MzcjkGdasGbj-CDjKLIGpFHqQ3</t>
  </si>
  <si>
    <t>Piyush Vijayvergiya</t>
  </si>
  <si>
    <t>piyushvijay350@gmail.com</t>
  </si>
  <si>
    <t>Crisil</t>
  </si>
  <si>
    <t>Client Communication, Data Analysis/Reporting, Problem Solving/Troubleshooting</t>
  </si>
  <si>
    <t>Locomotor disability and hemophilia</t>
  </si>
  <si>
    <t>Bhilwara Rajasthan</t>
  </si>
  <si>
    <t>8lpa fixed</t>
  </si>
  <si>
    <t>As per Market standards</t>
  </si>
  <si>
    <t>90 Days</t>
  </si>
  <si>
    <t>https://drive.google.com/open?id=1SsuQxUrQZ3YQE8TMqwG0etOp1ZqZjiB2</t>
  </si>
  <si>
    <t>Good we can share but he can attend virtualy currently he is in rajesthan</t>
  </si>
  <si>
    <t>Shan</t>
  </si>
  <si>
    <t>shantech30@gmail.com</t>
  </si>
  <si>
    <t>Sfo technologies</t>
  </si>
  <si>
    <t>5+ years</t>
  </si>
  <si>
    <t>Locomotor</t>
  </si>
  <si>
    <t>Kochi</t>
  </si>
  <si>
    <t>Immediate</t>
  </si>
  <si>
    <t>https://drive.google.com/open?id=1UvaHwTlPAdyVO0DVSNna0ZSJBQRFDqdj</t>
  </si>
  <si>
    <t>Somashekar A R</t>
  </si>
  <si>
    <t>somuar2000@gmail.com</t>
  </si>
  <si>
    <t>Accenture</t>
  </si>
  <si>
    <t>Technical Documentation, Cross-functional Team Collaboration, Problem Solving/Troubleshooting</t>
  </si>
  <si>
    <t>Locomotor Disibility</t>
  </si>
  <si>
    <t>60 Days</t>
  </si>
  <si>
    <t>https://drive.google.com/open?id=1bKS5ch7-KrqJq6QrEDyF2xuUkH4iJ4A5</t>
  </si>
  <si>
    <t>Sourcing &amp; Procurement Associate – Bangalore</t>
  </si>
  <si>
    <t>Ganesh Maruti salunke</t>
  </si>
  <si>
    <t>salunkeganesh788@gmail.com</t>
  </si>
  <si>
    <t>Amazon logistics</t>
  </si>
  <si>
    <t>Locomotive disability</t>
  </si>
  <si>
    <t>Hyderabad</t>
  </si>
  <si>
    <t>Banglore</t>
  </si>
  <si>
    <t>6 to 8 LPA</t>
  </si>
  <si>
    <t>https://drive.google.com/open?id=1pZNhsooVmbl9P4OjepFLuvFxo7OCo2E9</t>
  </si>
  <si>
    <t>Gautam Banerjee</t>
  </si>
  <si>
    <t>gautambanerjee10@gmail.com</t>
  </si>
  <si>
    <t>Bayer</t>
  </si>
  <si>
    <t>Locomotive Disability</t>
  </si>
  <si>
    <t>770000,00</t>
  </si>
  <si>
    <t>As per market standard</t>
  </si>
  <si>
    <t>https://drive.google.com/open?id=1sldNhnxu8xpwG_V5EqRjIFZ3FYe8cnIP</t>
  </si>
  <si>
    <t>Good we can share and regarding attending job fair will let us know shortly</t>
  </si>
  <si>
    <t>Santosh Gadkar</t>
  </si>
  <si>
    <t>gadkarsanthosh@gmail.com</t>
  </si>
  <si>
    <t>Bajaj finserv Pvt Ltd</t>
  </si>
  <si>
    <t>Data Analysis/Reporting</t>
  </si>
  <si>
    <t>11,45,000</t>
  </si>
  <si>
    <t>20% Hike</t>
  </si>
  <si>
    <t>https://drive.google.com/open?id=1mdMh9GFteDwcOrzovFRHDmqCo0c_tc4p</t>
  </si>
  <si>
    <t>Technical Support Associate – Bangalore</t>
  </si>
  <si>
    <t>Mohammed Magdoom</t>
  </si>
  <si>
    <t>mohammedmagdoom@gmail.com</t>
  </si>
  <si>
    <t>Bangalore Hyderabad</t>
  </si>
  <si>
    <t>5lpa</t>
  </si>
  <si>
    <t>https://drive.google.com/open?id=16ttDtK5gZcT83dk0dqzP408as-g1vgFO</t>
  </si>
  <si>
    <t>SRAVANI KAMASANI</t>
  </si>
  <si>
    <t>kamasanisravani@gmail.com</t>
  </si>
  <si>
    <t>0-1 years</t>
  </si>
  <si>
    <t>Technical Documentation</t>
  </si>
  <si>
    <t>Dwrafism</t>
  </si>
  <si>
    <t>https://drive.google.com/open?id=17fKolSuo7ZmCwlCzFkC1nEXYJNU3dXKt</t>
  </si>
  <si>
    <t>moulana ali mohammad</t>
  </si>
  <si>
    <t>alimd.be@gmail.com</t>
  </si>
  <si>
    <t>kryptos technologies chennai</t>
  </si>
  <si>
    <t>pwd locomotor disability</t>
  </si>
  <si>
    <t>chennai</t>
  </si>
  <si>
    <t>chennai, Hyderbad,</t>
  </si>
  <si>
    <t>https://drive.google.com/open?id=15OsLQz75q2mLr7YFQH-MHYXeIm9Jm1CU</t>
  </si>
  <si>
    <t>Arvind Kumar Dubey</t>
  </si>
  <si>
    <t>arvindkumarjrhu@gmail.com</t>
  </si>
  <si>
    <t>OH</t>
  </si>
  <si>
    <t>Pan India</t>
  </si>
  <si>
    <t>https://drive.google.com/open?id=10Kd-oZd5UNU7U4zXdrfJH39D6dFhcjuH</t>
  </si>
  <si>
    <t>Good we can share but he can attend virtualy currently he is in UP</t>
  </si>
  <si>
    <t>Peerzada Mohammad Zahid Shah</t>
  </si>
  <si>
    <t>mohammadzahid2613@gmail.com</t>
  </si>
  <si>
    <t>Sandisk</t>
  </si>
  <si>
    <t>5 LPA</t>
  </si>
  <si>
    <t>7 LPA</t>
  </si>
  <si>
    <t>https://drive.google.com/open?id=1ASpl1H9RhCXpaAkgNSePFpIahWiJo0Kt</t>
  </si>
  <si>
    <t>Customer Service Associate – Bangalore</t>
  </si>
  <si>
    <t>Nethravathi B S</t>
  </si>
  <si>
    <t>nethrabs29@gmail.com</t>
  </si>
  <si>
    <t>Amazon</t>
  </si>
  <si>
    <t>https://drive.google.com/open?id=16zSI4jbE6vPNJBnKcaa6KWGR8YVeJ882</t>
  </si>
  <si>
    <t>. Fresher Opportunities – Internships &amp; Full-Time Roles Bengaluru</t>
  </si>
  <si>
    <t>Yash Wagh</t>
  </si>
  <si>
    <t>yashwagh699@gmail.com</t>
  </si>
  <si>
    <t>Yougprerna Welfare Foundation</t>
  </si>
  <si>
    <t>Visually impaired</t>
  </si>
  <si>
    <t>Pune</t>
  </si>
  <si>
    <t>All over the India</t>
  </si>
  <si>
    <t>3.00.0.00 per year</t>
  </si>
  <si>
    <t>https://drive.google.com/open?id=11ClQfoO4GPj7Bp6cAjJbJAFz7wihDrVl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</si>
</sst>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4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Verdana"/>
    </font>
    <font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0000FF"/>
      <name val="Arial"/>
    </font>
    <font>
      <b/>
      <color theme="1"/>
      <name val="Verdana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color rgb="FF222222"/>
      <name val="Arial"/>
    </font>
    <font>
      <u/>
      <sz val="11.0"/>
      <color rgb="FF0000FF"/>
      <name val="Calibri"/>
    </font>
    <font>
      <u/>
      <sz val="11.0"/>
      <color rgb="FF1155CC"/>
      <name val="Calibri"/>
    </font>
    <font>
      <sz val="12.0"/>
      <color theme="1"/>
      <name val="Arial"/>
      <scheme val="minor"/>
    </font>
    <font>
      <sz val="10.0"/>
      <color theme="1"/>
      <name val="Verdana"/>
    </font>
    <font>
      <u/>
      <sz val="10.0"/>
      <color rgb="FF0000FF"/>
      <name val="Verdana"/>
    </font>
    <font>
      <sz val="10.0"/>
      <color theme="1"/>
      <name val="Arial"/>
      <scheme val="minor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3" fontId="14" numFmtId="0" xfId="0" applyAlignment="1" applyFill="1" applyFont="1">
      <alignment readingOrder="0" shrinkToFit="0" vertical="bottom" wrapText="0"/>
    </xf>
    <xf borderId="0" fillId="3" fontId="14" numFmtId="0" xfId="0" applyAlignment="1" applyFill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4" fontId="16" numFmtId="0" xfId="0" applyAlignment="1" applyFill="1" applyFont="1">
      <alignment readingOrder="0"/>
    </xf>
    <xf borderId="0" fillId="0" fontId="17" numFmtId="0" xfId="0" applyAlignment="1" applyFont="1">
      <alignment readingOrder="0" vertical="bottom"/>
    </xf>
    <xf borderId="0" fillId="3" fontId="9" numFmtId="0" xfId="0" applyAlignment="1" applyFill="1" applyFont="1">
      <alignment vertical="bottom"/>
    </xf>
    <xf borderId="0" fillId="0" fontId="18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center"/>
    </xf>
    <xf borderId="0" fillId="2" fontId="19" numFmtId="0" xfId="0" applyAlignment="1" applyFill="1" applyFont="1">
      <alignment horizontal="center" vertical="center"/>
    </xf>
    <xf borderId="0" fillId="0" fontId="20" numFmtId="164" xfId="0" applyAlignment="1" applyFont="1" applyNumberFormat="1">
      <alignment readingOrder="0" vertical="top"/>
    </xf>
    <xf borderId="0" fillId="0" fontId="20" numFmtId="0" xfId="0" applyAlignment="1" applyFont="1">
      <alignment readingOrder="0" vertical="top"/>
    </xf>
    <xf borderId="0" fillId="0" fontId="20" numFmtId="0" xfId="0" applyAlignment="1" applyFont="1">
      <alignment horizontal="center" readingOrder="0" vertical="top"/>
    </xf>
    <xf borderId="0" fillId="0" fontId="20" numFmtId="9" xfId="0" applyAlignment="1" applyFont="1" applyNumberFormat="1">
      <alignment horizontal="center" readingOrder="0"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readingOrder="0" vertical="top"/>
    </xf>
    <xf borderId="0" fillId="0" fontId="22" numFmtId="0" xfId="0" applyFont="1"/>
    <xf borderId="0" fillId="0" fontId="3" numFmtId="0" xfId="0" applyAlignment="1" applyFont="1">
      <alignment horizontal="center"/>
    </xf>
    <xf borderId="0" fillId="0" fontId="1" numFmtId="164" xfId="0" applyAlignment="1" applyFont="1" applyNumberForma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2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orms.gle/kZkJVuzb7byWkRdu9" TargetMode="External"/><Relationship Id="rId42" Type="http://schemas.openxmlformats.org/officeDocument/2006/relationships/hyperlink" Target="https://forms.gle/kZkJVuzb7byWkRdu9" TargetMode="External"/><Relationship Id="rId41" Type="http://schemas.openxmlformats.org/officeDocument/2006/relationships/hyperlink" Target="https://forms.gle/kZkJVuzb7byWkRdu9" TargetMode="External"/><Relationship Id="rId44" Type="http://schemas.openxmlformats.org/officeDocument/2006/relationships/hyperlink" Target="https://forms.gle/kZkJVuzb7byWkRdu9" TargetMode="External"/><Relationship Id="rId43" Type="http://schemas.openxmlformats.org/officeDocument/2006/relationships/hyperlink" Target="https://forms.gle/kZkJVuzb7byWkRdu9" TargetMode="External"/><Relationship Id="rId46" Type="http://schemas.openxmlformats.org/officeDocument/2006/relationships/hyperlink" Target="https://forms.gle/kZkJVuzb7byWkRdu9" TargetMode="External"/><Relationship Id="rId45" Type="http://schemas.openxmlformats.org/officeDocument/2006/relationships/hyperlink" Target="https://forms.gle/kZkJVuzb7byWkRdu9" TargetMode="External"/><Relationship Id="rId1" Type="http://schemas.openxmlformats.org/officeDocument/2006/relationships/hyperlink" Target="https://forms.gle/q1su71rQe3rE2DQ38?utm_source=chatgpt.com" TargetMode="External"/><Relationship Id="rId2" Type="http://schemas.openxmlformats.org/officeDocument/2006/relationships/hyperlink" Target="https://docs.google.com/document/u/0/d/1GQZnLx8VI8dTy5bBx3uP0c38_iA-RAeT/edit" TargetMode="External"/><Relationship Id="rId3" Type="http://schemas.openxmlformats.org/officeDocument/2006/relationships/hyperlink" Target="https://forms.gle/q1su71rQe3rE2DQ38?utm_source=chatgpt.com" TargetMode="External"/><Relationship Id="rId4" Type="http://schemas.openxmlformats.org/officeDocument/2006/relationships/hyperlink" Target="https://docs.google.com/document/u/0/d/1D8Tsk5mgEC5JgNtUzsi827HMz7wz42oL/edit" TargetMode="External"/><Relationship Id="rId9" Type="http://schemas.openxmlformats.org/officeDocument/2006/relationships/hyperlink" Target="https://forms.gle/NrJVGBzxSdn11Un36" TargetMode="External"/><Relationship Id="rId48" Type="http://schemas.openxmlformats.org/officeDocument/2006/relationships/hyperlink" Target="https://forms.gle/kZkJVuzb7byWkRdu9" TargetMode="External"/><Relationship Id="rId47" Type="http://schemas.openxmlformats.org/officeDocument/2006/relationships/hyperlink" Target="https://forms.gle/kZkJVuzb7byWkRdu9" TargetMode="External"/><Relationship Id="rId49" Type="http://schemas.openxmlformats.org/officeDocument/2006/relationships/hyperlink" Target="https://forms.gle/kZkJVuzb7byWkRdu9" TargetMode="External"/><Relationship Id="rId5" Type="http://schemas.openxmlformats.org/officeDocument/2006/relationships/hyperlink" Target="https://forms.gle/NrJVGBzxSdn11Un36" TargetMode="External"/><Relationship Id="rId6" Type="http://schemas.openxmlformats.org/officeDocument/2006/relationships/hyperlink" Target="https://forms.gle/NrJVGBzxSdn11Un36" TargetMode="External"/><Relationship Id="rId7" Type="http://schemas.openxmlformats.org/officeDocument/2006/relationships/hyperlink" Target="https://forms.gle/NrJVGBzxSdn11Un36" TargetMode="External"/><Relationship Id="rId8" Type="http://schemas.openxmlformats.org/officeDocument/2006/relationships/hyperlink" Target="https://forms.gle/NrJVGBzxSdn11Un36" TargetMode="External"/><Relationship Id="rId31" Type="http://schemas.openxmlformats.org/officeDocument/2006/relationships/hyperlink" Target="https://forms.gle/kZkJVuzb7byWkRdu9%20Axis%20life%20Non%20tech" TargetMode="External"/><Relationship Id="rId30" Type="http://schemas.openxmlformats.org/officeDocument/2006/relationships/hyperlink" Target="https://forms.gle/9ZnfqdFqYiaTJquA9" TargetMode="External"/><Relationship Id="rId33" Type="http://schemas.openxmlformats.org/officeDocument/2006/relationships/hyperlink" Target="https://forms.gle/kZkJVuzb7byWkRdu9%20Axis%20life%20Non%20tech" TargetMode="External"/><Relationship Id="rId32" Type="http://schemas.openxmlformats.org/officeDocument/2006/relationships/hyperlink" Target="https://forms.gle/9ZnfqdFqYiaTJquA9" TargetMode="External"/><Relationship Id="rId35" Type="http://schemas.openxmlformats.org/officeDocument/2006/relationships/hyperlink" Target="https://forms.gle/kZkJVuzb7byWkRdu9%20Axis%20life%20Non%20tech" TargetMode="External"/><Relationship Id="rId34" Type="http://schemas.openxmlformats.org/officeDocument/2006/relationships/hyperlink" Target="https://forms.gle/9ZnfqdFqYiaTJquA9" TargetMode="External"/><Relationship Id="rId37" Type="http://schemas.openxmlformats.org/officeDocument/2006/relationships/hyperlink" Target="https://forms.gle/kZkJVuzb7byWkRdu9" TargetMode="External"/><Relationship Id="rId36" Type="http://schemas.openxmlformats.org/officeDocument/2006/relationships/hyperlink" Target="https://forms.gle/kZkJVuzb7byWkRdu9" TargetMode="External"/><Relationship Id="rId39" Type="http://schemas.openxmlformats.org/officeDocument/2006/relationships/hyperlink" Target="https://forms.gle/kZkJVuzb7byWkRdu9" TargetMode="External"/><Relationship Id="rId38" Type="http://schemas.openxmlformats.org/officeDocument/2006/relationships/hyperlink" Target="https://forms.gle/kZkJVuzb7byWkRdu9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forms.gle/NrJVGBzxSdn11Un36" TargetMode="External"/><Relationship Id="rId22" Type="http://schemas.openxmlformats.org/officeDocument/2006/relationships/hyperlink" Target="https://forms.gle/NrJVGBzxSdn11Un36" TargetMode="External"/><Relationship Id="rId21" Type="http://schemas.openxmlformats.org/officeDocument/2006/relationships/hyperlink" Target="https://forms.gle/NrJVGBzxSdn11Un36" TargetMode="External"/><Relationship Id="rId24" Type="http://schemas.openxmlformats.org/officeDocument/2006/relationships/hyperlink" Target="https://forms.gle/NrJVGBzxSdn11Un36" TargetMode="External"/><Relationship Id="rId23" Type="http://schemas.openxmlformats.org/officeDocument/2006/relationships/hyperlink" Target="https://forms.gle/NrJVGBzxSdn11Un36" TargetMode="External"/><Relationship Id="rId60" Type="http://schemas.openxmlformats.org/officeDocument/2006/relationships/hyperlink" Target="https://forms.gle/q1su71rQe3rE2DQ38" TargetMode="External"/><Relationship Id="rId26" Type="http://schemas.openxmlformats.org/officeDocument/2006/relationships/hyperlink" Target="https://drive.google.com/open?id=12SmTlK9Jg8nr57X7diG97H1WnAMMLegC" TargetMode="External"/><Relationship Id="rId25" Type="http://schemas.openxmlformats.org/officeDocument/2006/relationships/hyperlink" Target="https://forms.gle/NrJVGBzxSdn11Un36" TargetMode="External"/><Relationship Id="rId28" Type="http://schemas.openxmlformats.org/officeDocument/2006/relationships/hyperlink" Target="https://forms.gle/45w4cuMGNMS7ar3a6" TargetMode="External"/><Relationship Id="rId27" Type="http://schemas.openxmlformats.org/officeDocument/2006/relationships/hyperlink" Target="https://forms.gle/45w4cuMGNMS7ar3a6" TargetMode="External"/><Relationship Id="rId29" Type="http://schemas.openxmlformats.org/officeDocument/2006/relationships/hyperlink" Target="https://forms.gle/kZkJVuzb7byWkRdu9" TargetMode="External"/><Relationship Id="rId51" Type="http://schemas.openxmlformats.org/officeDocument/2006/relationships/hyperlink" Target="https://forms.gle/BndEFcFyaGTTMiyc7" TargetMode="External"/><Relationship Id="rId50" Type="http://schemas.openxmlformats.org/officeDocument/2006/relationships/hyperlink" Target="https://forms.gle/kZkJVuzb7byWkRdu9" TargetMode="External"/><Relationship Id="rId53" Type="http://schemas.openxmlformats.org/officeDocument/2006/relationships/hyperlink" Target="https://forms.gle/TAA1kvbs8M7oCPvu5" TargetMode="External"/><Relationship Id="rId52" Type="http://schemas.openxmlformats.org/officeDocument/2006/relationships/hyperlink" Target="https://forms.gle/BndEFcFyaGTTMiyc7" TargetMode="External"/><Relationship Id="rId11" Type="http://schemas.openxmlformats.org/officeDocument/2006/relationships/hyperlink" Target="https://forms.gle/NrJVGBzxSdn11Un36" TargetMode="External"/><Relationship Id="rId55" Type="http://schemas.openxmlformats.org/officeDocument/2006/relationships/hyperlink" Target="https://forms.gle/TAA1kvbs8M7oCPvu5" TargetMode="External"/><Relationship Id="rId10" Type="http://schemas.openxmlformats.org/officeDocument/2006/relationships/hyperlink" Target="https://forms.gle/NrJVGBzxSdn11Un36" TargetMode="External"/><Relationship Id="rId54" Type="http://schemas.openxmlformats.org/officeDocument/2006/relationships/hyperlink" Target="https://drive.google.com/open?id=1kLfMH3tUP15R2fxttTWyeG7qP5L7qT3g" TargetMode="External"/><Relationship Id="rId13" Type="http://schemas.openxmlformats.org/officeDocument/2006/relationships/hyperlink" Target="https://forms.gle/NrJVGBzxSdn11Un36" TargetMode="External"/><Relationship Id="rId57" Type="http://schemas.openxmlformats.org/officeDocument/2006/relationships/hyperlink" Target="https://forms.gle/KDnPJymEgp71f7Fu5" TargetMode="External"/><Relationship Id="rId12" Type="http://schemas.openxmlformats.org/officeDocument/2006/relationships/hyperlink" Target="https://forms.gle/NrJVGBzxSdn11Un36" TargetMode="External"/><Relationship Id="rId56" Type="http://schemas.openxmlformats.org/officeDocument/2006/relationships/hyperlink" Target="https://forms.gle/KDnPJymEgp71f7Fu5" TargetMode="External"/><Relationship Id="rId15" Type="http://schemas.openxmlformats.org/officeDocument/2006/relationships/hyperlink" Target="https://forms.gle/NrJVGBzxSdn11Un36" TargetMode="External"/><Relationship Id="rId59" Type="http://schemas.openxmlformats.org/officeDocument/2006/relationships/hyperlink" Target="https://forms.gle/45w4cuMGNMS7ar3a6" TargetMode="External"/><Relationship Id="rId14" Type="http://schemas.openxmlformats.org/officeDocument/2006/relationships/hyperlink" Target="https://forms.gle/NrJVGBzxSdn11Un36" TargetMode="External"/><Relationship Id="rId58" Type="http://schemas.openxmlformats.org/officeDocument/2006/relationships/hyperlink" Target="https://forms.gle/45w4cuMGNMS7ar3a6" TargetMode="External"/><Relationship Id="rId17" Type="http://schemas.openxmlformats.org/officeDocument/2006/relationships/hyperlink" Target="https://forms.gle/NrJVGBzxSdn11Un36" TargetMode="External"/><Relationship Id="rId16" Type="http://schemas.openxmlformats.org/officeDocument/2006/relationships/hyperlink" Target="https://forms.gle/NrJVGBzxSdn11Un36" TargetMode="External"/><Relationship Id="rId19" Type="http://schemas.openxmlformats.org/officeDocument/2006/relationships/hyperlink" Target="https://forms.gle/NrJVGBzxSdn11Un36" TargetMode="External"/><Relationship Id="rId18" Type="http://schemas.openxmlformats.org/officeDocument/2006/relationships/hyperlink" Target="https://forms.gle/NrJVGBzxSdn11Un3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fYpuM7su0Jzpywy9MkTa-4toMWzYNil" TargetMode="External"/><Relationship Id="rId2" Type="http://schemas.openxmlformats.org/officeDocument/2006/relationships/hyperlink" Target="https://drive.google.com/open?id=10uwG35MzcjkGdasGbj-CDjKLIGpFHqQ3" TargetMode="External"/><Relationship Id="rId3" Type="http://schemas.openxmlformats.org/officeDocument/2006/relationships/hyperlink" Target="https://drive.google.com/open?id=1SsuQxUrQZ3YQE8TMqwG0etOp1ZqZjiB2" TargetMode="External"/><Relationship Id="rId4" Type="http://schemas.openxmlformats.org/officeDocument/2006/relationships/hyperlink" Target="https://drive.google.com/open?id=1UvaHwTlPAdyVO0DVSNna0ZSJBQRFDqdj" TargetMode="External"/><Relationship Id="rId9" Type="http://schemas.openxmlformats.org/officeDocument/2006/relationships/hyperlink" Target="https://drive.google.com/open?id=16ttDtK5gZcT83dk0dqzP408as-g1vgFO" TargetMode="External"/><Relationship Id="rId5" Type="http://schemas.openxmlformats.org/officeDocument/2006/relationships/hyperlink" Target="https://drive.google.com/open?id=1bKS5ch7-KrqJq6QrEDyF2xuUkH4iJ4A5" TargetMode="External"/><Relationship Id="rId6" Type="http://schemas.openxmlformats.org/officeDocument/2006/relationships/hyperlink" Target="https://drive.google.com/open?id=1pZNhsooVmbl9P4OjepFLuvFxo7OCo2E9" TargetMode="External"/><Relationship Id="rId7" Type="http://schemas.openxmlformats.org/officeDocument/2006/relationships/hyperlink" Target="https://drive.google.com/open?id=1sldNhnxu8xpwG_V5EqRjIFZ3FYe8cnIP" TargetMode="External"/><Relationship Id="rId8" Type="http://schemas.openxmlformats.org/officeDocument/2006/relationships/hyperlink" Target="https://drive.google.com/open?id=1mdMh9GFteDwcOrzovFRHDmqCo0c_tc4p" TargetMode="External"/><Relationship Id="rId11" Type="http://schemas.openxmlformats.org/officeDocument/2006/relationships/hyperlink" Target="https://drive.google.com/open?id=15OsLQz75q2mLr7YFQH-MHYXeIm9Jm1CU" TargetMode="External"/><Relationship Id="rId10" Type="http://schemas.openxmlformats.org/officeDocument/2006/relationships/hyperlink" Target="https://drive.google.com/open?id=17fKolSuo7ZmCwlCzFkC1nEXYJNU3dXKt" TargetMode="External"/><Relationship Id="rId13" Type="http://schemas.openxmlformats.org/officeDocument/2006/relationships/hyperlink" Target="https://drive.google.com/open?id=1ASpl1H9RhCXpaAkgNSePFpIahWiJo0Kt" TargetMode="External"/><Relationship Id="rId12" Type="http://schemas.openxmlformats.org/officeDocument/2006/relationships/hyperlink" Target="https://drive.google.com/open?id=10Kd-oZd5UNU7U4zXdrfJH39D6dFhcjuH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6zSI4jbE6vPNJBnKcaa6KWGR8YVeJ882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1ClQfoO4GPj7Bp6cAjJbJAFz7wihDrVl" TargetMode="External"/><Relationship Id="rId2" Type="http://schemas.openxmlformats.org/officeDocument/2006/relationships/hyperlink" Target="https://drive.google.com/open?id=1pZNhsooVmbl9P4OjepFLuvFxo7OCo2E9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13.5"/>
    <col customWidth="1" min="4" max="4" width="26.63"/>
    <col customWidth="1" min="5" max="5" width="43.88"/>
    <col customWidth="1" min="6" max="6" width="16.38"/>
    <col customWidth="1" min="7" max="7" width="39.75"/>
    <col customWidth="1" min="9" max="9" width="28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 t="s">
        <v>8</v>
      </c>
      <c r="K1" s="1" t="s">
        <v>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9</v>
      </c>
      <c r="B2" s="6" t="s">
        <v>10</v>
      </c>
      <c r="C2" s="6" t="s">
        <v>11</v>
      </c>
      <c r="D2" s="7"/>
      <c r="E2" s="8" t="str">
        <f>HYPERLINK("https://drive.google.com/file/d/1pOfu_NlBGGL2XNOMdIvmYRGMBzuMVmy3/view?usp=drivesdk","Executive – Enterprise Networking")</f>
        <v>Executive – Enterprise Networking</v>
      </c>
      <c r="F2" s="7"/>
      <c r="G2" s="7" t="s">
        <v>12</v>
      </c>
      <c r="H2" s="7"/>
      <c r="I2" s="7" t="s">
        <v>13</v>
      </c>
      <c r="J2" s="7"/>
      <c r="K2" s="5" t="s">
        <v>9</v>
      </c>
    </row>
    <row r="3">
      <c r="A3" s="5" t="s">
        <v>9</v>
      </c>
      <c r="B3" s="6" t="s">
        <v>10</v>
      </c>
      <c r="C3" s="6" t="s">
        <v>11</v>
      </c>
      <c r="D3" s="7"/>
      <c r="E3" s="8" t="str">
        <f>HYPERLINK("https://docs.google.com/document/d/1cNsKVxLldlDUJL3yYgYkyzka6-E659KA/edit?usp=drivesdk&amp;ouid=105072255449691052184&amp;rtpof=true&amp;sd=true","InfoSec Analyst / Lead – OT Security")</f>
        <v>InfoSec Analyst / Lead – OT Security</v>
      </c>
      <c r="F3" s="7"/>
      <c r="G3" s="7" t="s">
        <v>14</v>
      </c>
      <c r="H3" s="7"/>
      <c r="I3" s="7" t="s">
        <v>13</v>
      </c>
      <c r="J3" s="7"/>
      <c r="K3" s="5" t="s">
        <v>9</v>
      </c>
    </row>
    <row r="4">
      <c r="A4" s="5" t="s">
        <v>9</v>
      </c>
      <c r="B4" s="6" t="s">
        <v>10</v>
      </c>
      <c r="C4" s="6" t="s">
        <v>11</v>
      </c>
      <c r="D4" s="7"/>
      <c r="E4" s="8" t="str">
        <f>HYPERLINK("https://docs.google.com/document/d/1Up5PGhSYORRMHPTfET6iwusUnk3k0L3g/edit?usp=drivesdk&amp;ouid=105072255449691052184&amp;rtpof=true&amp;sd=true","Executive – Information Security (SOC)")</f>
        <v>Executive – Information Security (SOC)</v>
      </c>
      <c r="F4" s="7"/>
      <c r="G4" s="7" t="s">
        <v>14</v>
      </c>
      <c r="H4" s="7"/>
      <c r="I4" s="7" t="s">
        <v>13</v>
      </c>
      <c r="J4" s="7"/>
      <c r="K4" s="5" t="s">
        <v>9</v>
      </c>
    </row>
    <row r="5">
      <c r="A5" s="5" t="s">
        <v>9</v>
      </c>
      <c r="B5" s="6" t="s">
        <v>10</v>
      </c>
      <c r="C5" s="6" t="s">
        <v>11</v>
      </c>
      <c r="D5" s="7"/>
      <c r="E5" s="8" t="str">
        <f>HYPERLINK("https://docs.google.com/document/d/1DjpfvtP2BNBC5EZSbhGRW4f-3pk3aN0S/edit?usp=drivesdk&amp;ouid=105072255449691052184&amp;rtpof=true&amp;sd=true","DevSecOps Engineer")</f>
        <v>DevSecOps Engineer</v>
      </c>
      <c r="F5" s="7"/>
      <c r="G5" s="7" t="s">
        <v>15</v>
      </c>
      <c r="H5" s="7"/>
      <c r="I5" s="7" t="s">
        <v>13</v>
      </c>
      <c r="J5" s="7"/>
      <c r="K5" s="5" t="s">
        <v>9</v>
      </c>
    </row>
    <row r="6">
      <c r="A6" s="9" t="s">
        <v>0</v>
      </c>
      <c r="B6" s="6" t="s">
        <v>10</v>
      </c>
      <c r="C6" s="10" t="s">
        <v>16</v>
      </c>
      <c r="D6" s="7"/>
      <c r="E6" s="11" t="s">
        <v>17</v>
      </c>
      <c r="F6" s="7"/>
      <c r="G6" s="7"/>
      <c r="H6" s="7"/>
      <c r="I6" s="7"/>
      <c r="J6" s="7"/>
      <c r="K6" s="5"/>
    </row>
    <row r="7">
      <c r="A7" s="9" t="s">
        <v>0</v>
      </c>
      <c r="B7" s="6" t="s">
        <v>10</v>
      </c>
      <c r="C7" s="10" t="s">
        <v>16</v>
      </c>
      <c r="D7" s="7"/>
      <c r="E7" s="11" t="s">
        <v>18</v>
      </c>
      <c r="F7" s="7"/>
      <c r="G7" s="7"/>
      <c r="H7" s="7"/>
      <c r="I7" s="7"/>
      <c r="J7" s="7"/>
      <c r="K7" s="5"/>
    </row>
    <row r="8">
      <c r="A8" s="5" t="s">
        <v>9</v>
      </c>
      <c r="B8" s="6" t="s">
        <v>10</v>
      </c>
      <c r="C8" s="6" t="s">
        <v>11</v>
      </c>
      <c r="D8" s="7"/>
      <c r="E8" s="8" t="str">
        <f>HYPERLINK("https://docs.google.com/document/d/1AAzFtWwVQNUtLA7AE5A7ZzRl38qk9c-6/edit?usp=drivesdk&amp;ouid=105072255449691052184&amp;rtpof=true&amp;sd=true","Executive II – IT Infra &amp; Ops (VMware)")</f>
        <v>Executive II – IT Infra &amp; Ops (VMware)</v>
      </c>
      <c r="F8" s="7"/>
      <c r="G8" s="7" t="s">
        <v>19</v>
      </c>
      <c r="H8" s="7"/>
      <c r="I8" s="7" t="s">
        <v>20</v>
      </c>
      <c r="J8" s="7"/>
      <c r="K8" s="5" t="s">
        <v>9</v>
      </c>
    </row>
    <row r="9">
      <c r="A9" s="9" t="s">
        <v>0</v>
      </c>
      <c r="B9" s="6" t="s">
        <v>10</v>
      </c>
      <c r="C9" s="6" t="s">
        <v>16</v>
      </c>
      <c r="D9" s="7"/>
      <c r="E9" s="8" t="str">
        <f>HYPERLINK("https://drive.google.com/file/d/1PPPlMjqeY0PJD9V86tIw0fjqI4mwOFA8/view?usp=drivesdk","Executive – Demand Planning")</f>
        <v>Executive – Demand Planning</v>
      </c>
      <c r="F9" s="7"/>
      <c r="G9" s="7" t="s">
        <v>21</v>
      </c>
      <c r="H9" s="7"/>
      <c r="I9" s="7" t="s">
        <v>22</v>
      </c>
      <c r="J9" s="7"/>
      <c r="K9" s="5" t="s">
        <v>9</v>
      </c>
    </row>
    <row r="10">
      <c r="A10" s="9" t="s">
        <v>0</v>
      </c>
      <c r="B10" s="6" t="s">
        <v>10</v>
      </c>
      <c r="C10" s="6" t="s">
        <v>16</v>
      </c>
      <c r="D10" s="7"/>
      <c r="E10" s="8" t="str">
        <f>HYPERLINK("https://drive.google.com/file/d/1lDdBg8sZlUhyyyJVWsyq7ZJ3B6jgZ-62/view?usp=drivesdk","Executive – Manufacturing Technology (Admin)")</f>
        <v>Executive – Manufacturing Technology (Admin)</v>
      </c>
      <c r="F10" s="7"/>
      <c r="G10" s="7" t="s">
        <v>14</v>
      </c>
      <c r="H10" s="7"/>
      <c r="I10" s="7" t="s">
        <v>23</v>
      </c>
      <c r="J10" s="7"/>
      <c r="K10" s="5" t="s">
        <v>9</v>
      </c>
    </row>
    <row r="11">
      <c r="A11" s="9" t="s">
        <v>0</v>
      </c>
      <c r="B11" s="6" t="s">
        <v>10</v>
      </c>
      <c r="C11" s="6" t="s">
        <v>16</v>
      </c>
      <c r="D11" s="7"/>
      <c r="E11" s="8" t="str">
        <f>HYPERLINK("https://drive.google.com/file/d/152j9BnuxUeivWquzGVQhJjrw0lrgV4me/view?usp=drivesdk","Executive N – RM Purchase")</f>
        <v>Executive N – RM Purchase</v>
      </c>
      <c r="F11" s="7"/>
      <c r="G11" s="7" t="s">
        <v>14</v>
      </c>
      <c r="H11" s="7"/>
      <c r="I11" s="7" t="s">
        <v>23</v>
      </c>
      <c r="J11" s="7"/>
      <c r="K11" s="5" t="s">
        <v>9</v>
      </c>
    </row>
    <row r="12">
      <c r="A12" s="9" t="s">
        <v>0</v>
      </c>
      <c r="B12" s="6" t="s">
        <v>10</v>
      </c>
      <c r="C12" s="6" t="s">
        <v>16</v>
      </c>
      <c r="D12" s="7"/>
      <c r="E12" s="8" t="str">
        <f>HYPERLINK("https://docs.google.com/document/d/1omGWlg7RGO8fvQXz2u4kL071y8FR2wbF/edit?usp=drivesdk&amp;ouid=105072255449691052184&amp;rtpof=true&amp;sd=true","Executive N – Systems (OCIO)")</f>
        <v>Executive N – Systems (OCIO)</v>
      </c>
      <c r="F12" s="7"/>
      <c r="G12" s="7" t="s">
        <v>24</v>
      </c>
      <c r="H12" s="7"/>
      <c r="I12" s="7" t="s">
        <v>13</v>
      </c>
      <c r="J12" s="7"/>
      <c r="K12" s="5" t="s">
        <v>9</v>
      </c>
    </row>
    <row r="13">
      <c r="A13" s="9" t="s">
        <v>0</v>
      </c>
      <c r="B13" s="6" t="s">
        <v>10</v>
      </c>
      <c r="C13" s="6" t="s">
        <v>16</v>
      </c>
      <c r="D13" s="7"/>
      <c r="E13" s="8" t="str">
        <f>HYPERLINK("https://drive.google.com/file/d/1OH10xJnEu85VQTyJ_8RH9M6QkfFxjbz7/view?usp=drivesdk","Executive N – PMDI (Packing Material Development)")</f>
        <v>Executive N – PMDI (Packing Material Development)</v>
      </c>
      <c r="F13" s="7"/>
      <c r="G13" s="7" t="s">
        <v>25</v>
      </c>
      <c r="H13" s="7"/>
      <c r="I13" s="7" t="s">
        <v>23</v>
      </c>
      <c r="J13" s="7"/>
      <c r="K13" s="5" t="s">
        <v>9</v>
      </c>
    </row>
    <row r="14">
      <c r="A14" s="9" t="s">
        <v>0</v>
      </c>
      <c r="B14" s="6" t="s">
        <v>10</v>
      </c>
      <c r="C14" s="6" t="s">
        <v>16</v>
      </c>
      <c r="D14" s="7"/>
      <c r="E14" s="8" t="str">
        <f>HYPERLINK("https://drive.google.com/file/d/1XcT84tN-Ut4l121X0UNQ3KBUDgtaxzO1/view?usp=drivesdk","Executive – Material Planning (Execution)")</f>
        <v>Executive – Material Planning (Execution)</v>
      </c>
      <c r="F14" s="7"/>
      <c r="G14" s="7" t="s">
        <v>14</v>
      </c>
      <c r="H14" s="7"/>
      <c r="I14" s="7" t="s">
        <v>26</v>
      </c>
      <c r="J14" s="7"/>
      <c r="K14" s="5" t="s">
        <v>9</v>
      </c>
    </row>
    <row r="15">
      <c r="A15" s="9" t="s">
        <v>0</v>
      </c>
      <c r="B15" s="6" t="s">
        <v>10</v>
      </c>
      <c r="C15" s="6" t="s">
        <v>16</v>
      </c>
      <c r="D15" s="7"/>
      <c r="E15" s="8" t="str">
        <f>HYPERLINK("https://drive.google.com/file/d/1I__HX6-g3CWjNiMrHD4xSa6mUPXshIhd/view?usp=drivesdk","Executive – CMD (Contract Manufacturing – Commercial)")</f>
        <v>Executive – CMD (Contract Manufacturing – Commercial)</v>
      </c>
      <c r="F15" s="7"/>
      <c r="G15" s="7" t="s">
        <v>27</v>
      </c>
      <c r="H15" s="7"/>
      <c r="I15" s="7" t="s">
        <v>28</v>
      </c>
      <c r="J15" s="7"/>
      <c r="K15" s="5" t="s">
        <v>9</v>
      </c>
    </row>
    <row r="16">
      <c r="A16" s="9" t="s">
        <v>0</v>
      </c>
      <c r="B16" s="6" t="s">
        <v>10</v>
      </c>
      <c r="C16" s="6" t="s">
        <v>16</v>
      </c>
      <c r="D16" s="7"/>
      <c r="E16" s="8" t="str">
        <f>HYPERLINK("https://drive.google.com/file/d/1fXHfu8E7K5jLTMvNp9ptUiA68LuFDdMe/view?usp=drivesdk","Executive Trainee – Plant Engineering (GET)")</f>
        <v>Executive Trainee – Plant Engineering (GET)</v>
      </c>
      <c r="F16" s="7"/>
      <c r="G16" s="7" t="s">
        <v>29</v>
      </c>
      <c r="H16" s="7"/>
      <c r="I16" s="7" t="s">
        <v>30</v>
      </c>
      <c r="J16" s="7"/>
      <c r="K16" s="5" t="s">
        <v>9</v>
      </c>
    </row>
    <row r="17">
      <c r="A17" s="9" t="s">
        <v>0</v>
      </c>
      <c r="B17" s="6" t="s">
        <v>10</v>
      </c>
      <c r="C17" s="6" t="s">
        <v>16</v>
      </c>
      <c r="D17" s="7"/>
      <c r="E17" s="8" t="str">
        <f>HYPERLINK("https://drive.google.com/file/d/1ymI-sCx49nUT0kLD8YL2hvm5Ikd1oL9r/view?usp=drivesdk","Executive N – Purchase (Packing Materials)")</f>
        <v>Executive N – Purchase (Packing Materials)</v>
      </c>
      <c r="F17" s="7"/>
      <c r="G17" s="7" t="s">
        <v>14</v>
      </c>
      <c r="H17" s="7"/>
      <c r="I17" s="7" t="s">
        <v>23</v>
      </c>
      <c r="J17" s="7"/>
      <c r="K17" s="5" t="s">
        <v>9</v>
      </c>
    </row>
    <row r="18">
      <c r="A18" s="9" t="s">
        <v>0</v>
      </c>
      <c r="B18" s="6" t="s">
        <v>10</v>
      </c>
      <c r="C18" s="6" t="s">
        <v>16</v>
      </c>
      <c r="D18" s="7"/>
      <c r="E18" s="8" t="str">
        <f>HYPERLINK("https://docs.google.com/document/d/1-5NsdqLnhby586fjRNgXpAK7fLS7ORgh/edit?usp=drivesdk&amp;ouid=105072255449691052184&amp;rtpof=true&amp;sd=true","Executive – Materials Planning (Generation)")</f>
        <v>Executive – Materials Planning (Generation)</v>
      </c>
      <c r="F18" s="7"/>
      <c r="G18" s="7" t="s">
        <v>14</v>
      </c>
      <c r="H18" s="7"/>
      <c r="I18" s="7" t="s">
        <v>14</v>
      </c>
      <c r="J18" s="7"/>
      <c r="K18" s="5" t="s">
        <v>9</v>
      </c>
    </row>
    <row r="19">
      <c r="A19" s="9" t="s">
        <v>0</v>
      </c>
      <c r="B19" s="6" t="s">
        <v>10</v>
      </c>
      <c r="C19" s="6" t="s">
        <v>16</v>
      </c>
      <c r="D19" s="7"/>
      <c r="E19" s="8" t="str">
        <f>HYPERLINK("https://drive.google.com/file/d/1rUWzzZqxxUXUgYztbNjQu7_7T6tu76kX/view?usp=drivesdk","Executive – Distribution (Outbound Logistics &amp; Warehousing)")</f>
        <v>Executive – Distribution (Outbound Logistics &amp; Warehousing)</v>
      </c>
      <c r="F19" s="7"/>
      <c r="G19" s="7" t="s">
        <v>31</v>
      </c>
      <c r="H19" s="7"/>
      <c r="I19" s="7" t="s">
        <v>23</v>
      </c>
      <c r="J19" s="7"/>
      <c r="K19" s="5" t="s">
        <v>9</v>
      </c>
    </row>
    <row r="20">
      <c r="A20" s="9" t="s">
        <v>0</v>
      </c>
      <c r="B20" s="6" t="s">
        <v>10</v>
      </c>
      <c r="C20" s="6" t="s">
        <v>16</v>
      </c>
      <c r="D20" s="7"/>
      <c r="E20" s="8" t="str">
        <f>HYPERLINK("https://docs.google.com/document/d/1cT_S-gPMdoMpmRQpazMckW9mSDCtQoPW/edit?usp=drivesdk&amp;ouid=105072255449691052184&amp;rtpof=true&amp;sd=true","Executive – Inbound Logistics")</f>
        <v>Executive – Inbound Logistics</v>
      </c>
      <c r="F20" s="7"/>
      <c r="G20" s="7" t="s">
        <v>14</v>
      </c>
      <c r="H20" s="7"/>
      <c r="I20" s="7" t="s">
        <v>32</v>
      </c>
      <c r="J20" s="7"/>
      <c r="K20" s="5" t="s">
        <v>9</v>
      </c>
    </row>
    <row r="21">
      <c r="A21" s="9" t="s">
        <v>0</v>
      </c>
      <c r="B21" s="6" t="s">
        <v>10</v>
      </c>
      <c r="C21" s="6" t="s">
        <v>16</v>
      </c>
      <c r="D21" s="7"/>
      <c r="E21" s="8" t="str">
        <f>HYPERLINK("https://docs.google.com/document/d/1SIceAKBw2mGyvy9VD9xweNo_S90bsDZJ/edit?usp=drivesdk&amp;ouid=105072255449691052184&amp;rtpof=true&amp;sd=true","Executive – Materials Planning (Costing)")</f>
        <v>Executive – Materials Planning (Costing)</v>
      </c>
      <c r="F21" s="7"/>
      <c r="G21" s="7" t="s">
        <v>14</v>
      </c>
      <c r="H21" s="7"/>
      <c r="I21" s="7" t="s">
        <v>13</v>
      </c>
      <c r="J21" s="7"/>
      <c r="K21" s="5" t="s">
        <v>9</v>
      </c>
    </row>
    <row r="22">
      <c r="A22" s="9" t="s">
        <v>0</v>
      </c>
      <c r="B22" s="6" t="s">
        <v>10</v>
      </c>
      <c r="C22" s="6" t="s">
        <v>16</v>
      </c>
      <c r="D22" s="7"/>
      <c r="E22" s="8" t="str">
        <f>HYPERLINK("https://docs.google.com/document/d/1OneOVWPM3br4I90rA2DDfXh76b8hRhev/edit?usp=drivesdk&amp;ouid=105072255449691052184&amp;rtpof=true&amp;sd=true","Executive – Purchased Products (Commercial)")</f>
        <v>Executive – Purchased Products (Commercial)</v>
      </c>
      <c r="F22" s="7"/>
      <c r="G22" s="7" t="s">
        <v>33</v>
      </c>
      <c r="H22" s="7"/>
      <c r="I22" s="7" t="s">
        <v>34</v>
      </c>
      <c r="J22" s="7"/>
      <c r="K22" s="5" t="s">
        <v>9</v>
      </c>
    </row>
    <row r="23">
      <c r="A23" s="9" t="s">
        <v>0</v>
      </c>
      <c r="B23" s="6" t="s">
        <v>10</v>
      </c>
      <c r="C23" s="6" t="s">
        <v>16</v>
      </c>
      <c r="D23" s="7"/>
      <c r="E23" s="8" t="str">
        <f>HYPERLINK("https://docs.google.com/document/d/1TEhryEGYsjSwOskus793ckdm4XxaZsI5/edit?usp=drivesdk&amp;ouid=105072255449691052184&amp;rtpof=true&amp;sd=true","Executive N – New Products Support (NPS)")</f>
        <v>Executive N – New Products Support (NPS)</v>
      </c>
      <c r="F23" s="12"/>
      <c r="G23" s="7" t="s">
        <v>35</v>
      </c>
      <c r="H23" s="7"/>
      <c r="I23" s="7" t="s">
        <v>32</v>
      </c>
      <c r="J23" s="7"/>
      <c r="K23" s="5" t="s">
        <v>9</v>
      </c>
    </row>
    <row r="24">
      <c r="A24" s="9" t="s">
        <v>0</v>
      </c>
      <c r="B24" s="6" t="s">
        <v>10</v>
      </c>
      <c r="C24" s="6" t="s">
        <v>16</v>
      </c>
      <c r="D24" s="7"/>
      <c r="E24" s="8" t="str">
        <f>HYPERLINK("https://docs.google.com/document/d/1hL-rODbWX9anhCA3Fd34X5XJNb7GKuU3/edit?usp=drivesdk&amp;ouid=105072255449691052184&amp;rtpof=true&amp;sd=true","Executive – Imports")</f>
        <v>Executive – Imports</v>
      </c>
      <c r="F24" s="7"/>
      <c r="G24" s="7" t="s">
        <v>36</v>
      </c>
      <c r="H24" s="7"/>
      <c r="I24" s="7" t="s">
        <v>23</v>
      </c>
      <c r="J24" s="7"/>
      <c r="K24" s="5" t="s">
        <v>9</v>
      </c>
    </row>
    <row r="25">
      <c r="A25" s="9" t="s">
        <v>0</v>
      </c>
      <c r="B25" s="6" t="s">
        <v>10</v>
      </c>
      <c r="C25" s="6" t="s">
        <v>16</v>
      </c>
      <c r="D25" s="7"/>
      <c r="E25" s="8" t="str">
        <f>HYPERLINK("https://docs.google.com/document/d/1Es9EfdjzexXlMkA0RlrcL6bqrD2w2Cby/edit?usp=drivesdk&amp;ouid=105072255449691052184&amp;rtpof=true&amp;sd=true","Executive – Distribution (TL Operations)")</f>
        <v>Executive – Distribution (TL Operations)</v>
      </c>
      <c r="F25" s="7"/>
      <c r="G25" s="7" t="s">
        <v>14</v>
      </c>
      <c r="H25" s="7"/>
      <c r="I25" s="7" t="s">
        <v>14</v>
      </c>
      <c r="J25" s="7"/>
      <c r="K25" s="5" t="s">
        <v>9</v>
      </c>
    </row>
    <row r="26">
      <c r="A26" s="9" t="s">
        <v>0</v>
      </c>
      <c r="B26" s="6" t="s">
        <v>10</v>
      </c>
      <c r="C26" s="6" t="s">
        <v>16</v>
      </c>
      <c r="D26" s="7"/>
      <c r="E26" s="8" t="str">
        <f>HYPERLINK("https://docs.google.com/document/d/1ClSQC_-YD2CMEEjdyx0kzCXhJSvj30q9/edit?usp=drivesdk&amp;ouid=105072255449691052184&amp;rtpof=true&amp;sd=true","Executive – Purchased Products (Execution)")</f>
        <v>Executive – Purchased Products (Execution)</v>
      </c>
      <c r="F26" s="7"/>
      <c r="G26" s="7" t="s">
        <v>37</v>
      </c>
      <c r="H26" s="7"/>
      <c r="I26" s="7" t="s">
        <v>34</v>
      </c>
      <c r="J26" s="7"/>
      <c r="K26" s="5" t="s">
        <v>9</v>
      </c>
    </row>
    <row r="27">
      <c r="A27" s="9" t="s">
        <v>0</v>
      </c>
      <c r="B27" s="6" t="s">
        <v>10</v>
      </c>
      <c r="C27" s="6" t="s">
        <v>16</v>
      </c>
      <c r="D27" s="7"/>
      <c r="E27" s="8" t="str">
        <f>HYPERLINK("https://docs.google.com/document/d/1iMIzYQuHj4rlADo3xYOdxwjC8rr3RcF1/edit?usp=drivesdk&amp;ouid=105072255449691052184&amp;rtpof=true&amp;sd=true","Executive N – JVC Commercial")</f>
        <v>Executive N – JVC Commercial</v>
      </c>
      <c r="F27" s="7"/>
      <c r="G27" s="7" t="s">
        <v>14</v>
      </c>
      <c r="H27" s="7"/>
      <c r="I27" s="7" t="s">
        <v>23</v>
      </c>
      <c r="J27" s="7"/>
      <c r="K27" s="5" t="s">
        <v>9</v>
      </c>
    </row>
    <row r="28">
      <c r="A28" s="9" t="s">
        <v>0</v>
      </c>
      <c r="B28" s="6" t="s">
        <v>10</v>
      </c>
      <c r="C28" s="6" t="s">
        <v>16</v>
      </c>
      <c r="D28" s="7"/>
      <c r="E28" s="8" t="str">
        <f>HYPERLINK("https://docs.google.com/document/d/1Rscm182_3G9Ps3-0eohxgP25WXXlmAUQ/edit?usp=drivesdk&amp;ouid=105072255449691052184&amp;rtpof=true&amp;sd=true","Executive I – EHS (SCRC)")</f>
        <v>Executive I – EHS (SCRC)</v>
      </c>
      <c r="F28" s="7"/>
      <c r="G28" s="7" t="s">
        <v>38</v>
      </c>
      <c r="H28" s="7"/>
      <c r="I28" s="7" t="s">
        <v>39</v>
      </c>
      <c r="J28" s="7"/>
      <c r="K28" s="5" t="s">
        <v>9</v>
      </c>
    </row>
    <row r="29">
      <c r="A29" s="9" t="s">
        <v>0</v>
      </c>
      <c r="B29" s="6" t="s">
        <v>10</v>
      </c>
      <c r="C29" s="7" t="s">
        <v>16</v>
      </c>
      <c r="D29" s="7"/>
      <c r="E29" s="8" t="str">
        <f>HYPERLINK("https://docs.google.com/document/d/1QMi1dqB7qJQmaOAopDDkE37dxAZSsAdy/edit?usp=drivesdk&amp;ouid=105072255449691052184&amp;rtpof=true&amp;sd=true","Executive I – Purchased Products (Quality)")</f>
        <v>Executive I – Purchased Products (Quality)</v>
      </c>
      <c r="F29" s="7"/>
      <c r="G29" s="7" t="s">
        <v>14</v>
      </c>
      <c r="H29" s="7"/>
      <c r="I29" s="7" t="s">
        <v>23</v>
      </c>
      <c r="J29" s="7"/>
      <c r="K29" s="5" t="s">
        <v>9</v>
      </c>
    </row>
    <row r="30">
      <c r="A30" s="13" t="s">
        <v>1</v>
      </c>
    </row>
    <row r="31">
      <c r="A31" s="14" t="str">
        <f t="shared" ref="A31:A32" si="1">HYPERLINK("https://forms.gle/gbe4VGocowraNdUv8","Google Form")</f>
        <v>Google Form</v>
      </c>
      <c r="B31" s="15" t="s">
        <v>40</v>
      </c>
      <c r="C31" s="15" t="s">
        <v>11</v>
      </c>
      <c r="D31" s="16"/>
      <c r="E31" s="17" t="str">
        <f>HYPERLINK("https://docs.google.com/document/d/1lGmUZ7bWnY1pmnroFwizWi6gs4kY0PSmGGRuUoa75t0/edit?usp=drivesdk","AI Engineer")</f>
        <v>AI Engineer</v>
      </c>
      <c r="F31" s="16"/>
      <c r="G31" s="15" t="s">
        <v>41</v>
      </c>
      <c r="H31" s="16"/>
      <c r="I31" s="15" t="s">
        <v>42</v>
      </c>
      <c r="J31" s="16"/>
      <c r="K31" s="14" t="str">
        <f>HYPERLINK("https://forms.gle/gbe4VGocowraNdUv8","Google Form")</f>
        <v>Google Form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4" t="str">
        <f t="shared" si="1"/>
        <v>Google Form</v>
      </c>
      <c r="B32" s="18" t="s">
        <v>40</v>
      </c>
      <c r="C32" s="18" t="s">
        <v>11</v>
      </c>
      <c r="D32" s="16"/>
      <c r="E32" s="19" t="s">
        <v>43</v>
      </c>
      <c r="F32" s="16"/>
      <c r="G32" s="15"/>
      <c r="H32" s="16"/>
      <c r="I32" s="18"/>
      <c r="J32" s="16"/>
      <c r="K32" s="1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8"/>
      <c r="C33" s="18"/>
      <c r="D33" s="16"/>
      <c r="E33" s="20"/>
      <c r="F33" s="16"/>
      <c r="G33" s="15"/>
      <c r="H33" s="16"/>
      <c r="I33" s="18"/>
      <c r="J33" s="16"/>
      <c r="K33" s="1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9" t="s">
        <v>0</v>
      </c>
      <c r="B34" s="16" t="s">
        <v>44</v>
      </c>
      <c r="C34" s="16" t="s">
        <v>16</v>
      </c>
      <c r="D34" s="16"/>
      <c r="E34" s="21" t="str">
        <f>HYPERLINK("https://docs.google.com/document/d/1mM07DUckCdU3mAWv6c5we_CaGxgapleIz4ejQX_BpIA/edit?usp=drivesdk","CSA (Customer Service Associate) – Grade H2")</f>
        <v>CSA (Customer Service Associate) – Grade H2</v>
      </c>
      <c r="F34" s="16"/>
      <c r="G34" s="16" t="s">
        <v>35</v>
      </c>
      <c r="H34" s="16"/>
      <c r="I34" s="16" t="s">
        <v>14</v>
      </c>
      <c r="J34" s="16"/>
      <c r="K34" s="19" t="s">
        <v>0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8" t="s">
        <v>9</v>
      </c>
      <c r="B35" s="16"/>
      <c r="C35" s="16"/>
      <c r="D35" s="16"/>
      <c r="E35" s="16"/>
      <c r="F35" s="16"/>
      <c r="G35" s="16"/>
      <c r="H35" s="16"/>
      <c r="I35" s="16"/>
      <c r="J35" s="16"/>
      <c r="K35" s="18" t="s">
        <v>9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idden="1">
      <c r="A36" s="18" t="s">
        <v>0</v>
      </c>
      <c r="B36" s="22" t="s">
        <v>45</v>
      </c>
      <c r="C36" s="22" t="s">
        <v>2</v>
      </c>
      <c r="D36" s="22" t="s">
        <v>46</v>
      </c>
      <c r="E36" s="22" t="s">
        <v>4</v>
      </c>
      <c r="F36" s="22" t="s">
        <v>5</v>
      </c>
      <c r="G36" s="22" t="s">
        <v>6</v>
      </c>
      <c r="H36" s="16"/>
      <c r="I36" s="16"/>
      <c r="J36" s="16"/>
      <c r="K36" s="18" t="s">
        <v>0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idden="1">
      <c r="A37" s="18" t="s">
        <v>0</v>
      </c>
      <c r="B37" s="22" t="s">
        <v>45</v>
      </c>
      <c r="C37" s="22" t="s">
        <v>2</v>
      </c>
      <c r="D37" s="22" t="s">
        <v>46</v>
      </c>
      <c r="E37" s="22" t="s">
        <v>4</v>
      </c>
      <c r="F37" s="22" t="s">
        <v>5</v>
      </c>
      <c r="G37" s="22" t="s">
        <v>6</v>
      </c>
      <c r="H37" s="16"/>
      <c r="I37" s="16"/>
      <c r="J37" s="16"/>
      <c r="K37" s="18" t="s">
        <v>0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9" t="s">
        <v>0</v>
      </c>
      <c r="B38" s="23" t="s">
        <v>47</v>
      </c>
      <c r="C38" s="23" t="s">
        <v>16</v>
      </c>
      <c r="D38" s="24"/>
      <c r="E38" s="25" t="str">
        <f>HYPERLINK("https://docs.google.com/document/d/1fj-NYBzW5jwwdEx1DgPHVsHTpnXhAV7R/edit?usp=drivesdk&amp;ouid=105072255449691052184&amp;rtpof=true&amp;sd=true","Sr. Manager – Operations (Axis) – Grievance/Freelook Insighting")</f>
        <v>Sr. Manager – Operations (Axis) – Grievance/Freelook Insighting</v>
      </c>
      <c r="F38" s="24"/>
      <c r="G38" s="23" t="s">
        <v>48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9" t="s">
        <v>0</v>
      </c>
      <c r="B39" s="23" t="s">
        <v>47</v>
      </c>
      <c r="C39" s="23" t="s">
        <v>11</v>
      </c>
      <c r="D39" s="24"/>
      <c r="E39" s="25" t="str">
        <f>HYPERLINK("https://drive.google.com/file/d/1U681rX2SMTrZRt4qsGArw9cUviw7a_BO/view?usp=drivesdk","Sr. Manager – MIS Reporting (BIIG)")</f>
        <v>Sr. Manager – MIS Reporting (BIIG)</v>
      </c>
      <c r="F39" s="24"/>
      <c r="G39" s="23" t="s">
        <v>49</v>
      </c>
      <c r="H39" s="16"/>
      <c r="I39" s="20"/>
      <c r="J39" s="16"/>
      <c r="K39" s="19" t="s">
        <v>0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9" t="s">
        <v>0</v>
      </c>
      <c r="B40" s="23" t="s">
        <v>47</v>
      </c>
      <c r="C40" s="23" t="s">
        <v>11</v>
      </c>
      <c r="D40" s="24"/>
      <c r="E40" s="25" t="str">
        <f>HYPERLINK("https://drive.google.com/file/d/1nsK14OonvUEGCbeF_wupLVDGe3GQ-nzN/view?usp=drivesdk","Sr. Manager – Data Security (Enterprise Risk Mgmt / InfoSec)")</f>
        <v>Sr. Manager – Data Security (Enterprise Risk Mgmt / InfoSec)</v>
      </c>
      <c r="F40" s="24"/>
      <c r="G40" s="23" t="s">
        <v>50</v>
      </c>
      <c r="H40" s="16"/>
      <c r="I40" s="20"/>
      <c r="J40" s="16"/>
      <c r="K40" s="19" t="s">
        <v>0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9" t="s">
        <v>0</v>
      </c>
      <c r="B41" s="23" t="s">
        <v>47</v>
      </c>
      <c r="C41" s="23" t="s">
        <v>11</v>
      </c>
      <c r="D41" s="24"/>
      <c r="E41" s="25" t="str">
        <f>HYPERLINK("https://drive.google.com/file/d/1mDqmGTYz1JOudmt5jLSdkVesmZahJOXD/view?usp=drivesdk","Sr. Manager – AI Risk Management (Enterprise Risk Mgmt)")</f>
        <v>Sr. Manager – AI Risk Management (Enterprise Risk Mgmt)</v>
      </c>
      <c r="F41" s="24"/>
      <c r="G41" s="23" t="s">
        <v>51</v>
      </c>
      <c r="H41" s="16"/>
      <c r="I41" s="20"/>
      <c r="J41" s="16"/>
      <c r="K41" s="19" t="s">
        <v>0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9" t="s">
        <v>0</v>
      </c>
      <c r="B42" s="23" t="s">
        <v>47</v>
      </c>
      <c r="C42" s="23" t="s">
        <v>16</v>
      </c>
      <c r="D42" s="24"/>
      <c r="E42" s="25" t="str">
        <f>HYPERLINK("https://docs.google.com/document/d/12dCrN9RFbAhHChmCO5N8ZmjlyDtX9rQu/edit?usp=drivesdk&amp;ouid=105072255449691052184&amp;rtpof=true&amp;sd=true","Sr. Manager – Customer Experience (Control Tower)")</f>
        <v>Sr. Manager – Customer Experience (Control Tower)</v>
      </c>
      <c r="F42" s="24"/>
      <c r="G42" s="23" t="s">
        <v>52</v>
      </c>
      <c r="H42" s="16"/>
      <c r="I42" s="16"/>
      <c r="J42" s="16"/>
      <c r="K42" s="20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9" t="s">
        <v>0</v>
      </c>
      <c r="B43" s="23" t="s">
        <v>47</v>
      </c>
      <c r="C43" s="23" t="s">
        <v>16</v>
      </c>
      <c r="D43" s="24"/>
      <c r="E43" s="25" t="str">
        <f>HYPERLINK("https://docs.google.com/document/d/1Pi8RXRvqHwge-ax4_gSEj5CCJcszv5Oj/edit?usp=drivesdk&amp;ouid=105072255449691052184&amp;rtpof=true&amp;sd=true","Deputy Manager – Renewals")</f>
        <v>Deputy Manager – Renewals</v>
      </c>
      <c r="F43" s="24"/>
      <c r="G43" s="23" t="s">
        <v>53</v>
      </c>
      <c r="H43" s="16"/>
      <c r="I43" s="16"/>
      <c r="J43" s="16"/>
      <c r="K43" s="18" t="s">
        <v>9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9" t="s">
        <v>0</v>
      </c>
      <c r="B44" s="26" t="s">
        <v>47</v>
      </c>
      <c r="C44" s="26" t="s">
        <v>16</v>
      </c>
      <c r="D44" s="27"/>
      <c r="E44" s="25" t="str">
        <f>HYPERLINK("https://docs.google.com/document/d/18LLZbKX-dvVT4fAXV71vmuqwMGxFi2v6/edit?usp=drivesdk&amp;ouid=105072255449691052184&amp;rtpof=true&amp;sd=true","Deputy Manager – Renewals (duplicate file)")</f>
        <v>Deputy Manager – Renewals (duplicate file)</v>
      </c>
      <c r="F44" s="27"/>
      <c r="G44" s="26" t="s">
        <v>53</v>
      </c>
      <c r="H44" s="16"/>
      <c r="I44" s="16"/>
      <c r="J44" s="16"/>
      <c r="K44" s="18" t="s">
        <v>9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9" t="s">
        <v>0</v>
      </c>
      <c r="B45" s="23" t="s">
        <v>47</v>
      </c>
      <c r="C45" s="23" t="s">
        <v>16</v>
      </c>
      <c r="D45" s="24"/>
      <c r="E45" s="25" t="str">
        <f>HYPERLINK("https://docs.google.com/document/d/1pzivyLB6N4bbQz_ySUZYyQr9EGN2Vebn/edit?usp=drivesdk&amp;ouid=105072255449691052184&amp;rtpof=true&amp;sd=true","Chief Manager – Business Planning &amp; Analytics (Renewals)")</f>
        <v>Chief Manager – Business Planning &amp; Analytics (Renewals)</v>
      </c>
      <c r="F45" s="24"/>
      <c r="G45" s="23" t="s">
        <v>54</v>
      </c>
      <c r="H45" s="16"/>
      <c r="I45" s="16"/>
      <c r="J45" s="16"/>
      <c r="K45" s="18" t="s">
        <v>9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9" t="s">
        <v>0</v>
      </c>
      <c r="B46" s="23" t="s">
        <v>47</v>
      </c>
      <c r="C46" s="23" t="s">
        <v>16</v>
      </c>
      <c r="D46" s="24"/>
      <c r="E46" s="25" t="str">
        <f>HYPERLINK("https://docs.google.com/document/d/11H4bO6iZUOm-YzL88bSxTCocRQgPSmoi/edit?usp=drivesdk&amp;ouid=105072255449691052184&amp;rtpof=true&amp;sd=true","Manager – Product Manager (POS)")</f>
        <v>Manager – Product Manager (POS)</v>
      </c>
      <c r="F46" s="24"/>
      <c r="G46" s="23" t="s">
        <v>55</v>
      </c>
      <c r="H46" s="16"/>
      <c r="I46" s="16"/>
      <c r="J46" s="16"/>
      <c r="K46" s="18" t="s">
        <v>9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9" t="s">
        <v>0</v>
      </c>
      <c r="B47" s="23" t="s">
        <v>47</v>
      </c>
      <c r="C47" s="23" t="s">
        <v>16</v>
      </c>
      <c r="D47" s="24"/>
      <c r="E47" s="25" t="str">
        <f>HYPERLINK("https://docs.google.com/document/d/1cN6TXFtzqH-STubin2lHImag7l9SLek-/edit?usp=drivesdk&amp;ouid=105072255449691052184&amp;rtpof=true&amp;sd=true","Sr. Manager – POS (Payout Operations)")</f>
        <v>Sr. Manager – POS (Payout Operations)</v>
      </c>
      <c r="F47" s="24"/>
      <c r="G47" s="23" t="s">
        <v>56</v>
      </c>
      <c r="H47" s="16"/>
      <c r="I47" s="16"/>
      <c r="J47" s="16"/>
      <c r="K47" s="18" t="s">
        <v>9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9" t="s">
        <v>0</v>
      </c>
      <c r="B48" s="23" t="s">
        <v>47</v>
      </c>
      <c r="C48" s="23" t="s">
        <v>16</v>
      </c>
      <c r="D48" s="24"/>
      <c r="E48" s="25" t="str">
        <f>HYPERLINK("https://docs.google.com/document/d/1KPDVzRVqQreo1LyObqz7uoqL7KnBDVxv/edit?usp=drivesdk&amp;ouid=105072255449691052184&amp;rtpof=true&amp;sd=true","Sr. Manager – Policy Administration (PAG)")</f>
        <v>Sr. Manager – Policy Administration (PAG)</v>
      </c>
      <c r="F48" s="28"/>
      <c r="G48" s="23" t="s">
        <v>57</v>
      </c>
      <c r="H48" s="16"/>
      <c r="I48" s="16"/>
      <c r="J48" s="16"/>
      <c r="K48" s="18" t="s">
        <v>9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9" t="s">
        <v>0</v>
      </c>
      <c r="B49" s="23" t="s">
        <v>47</v>
      </c>
      <c r="C49" s="23" t="s">
        <v>16</v>
      </c>
      <c r="D49" s="24"/>
      <c r="E49" s="25" t="str">
        <f>HYPERLINK("https://docs.google.com/document/d/1Ip31TQS3xOuMYMtT8zAxHXfKoYJ_nGQr/edit?usp=drivesdk&amp;ouid=105072255449691052184&amp;rtpof=true&amp;sd=true","Sr. Associate / Asst. Manager / Deputy Manager – Customer Care (PAG)")</f>
        <v>Sr. Associate / Asst. Manager / Deputy Manager – Customer Care (PAG)</v>
      </c>
      <c r="G49" s="23" t="s">
        <v>58</v>
      </c>
      <c r="H49" s="16"/>
      <c r="I49" s="16"/>
      <c r="J49" s="16"/>
      <c r="K49" s="18" t="s">
        <v>9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9" t="s">
        <v>0</v>
      </c>
      <c r="B50" s="23" t="s">
        <v>47</v>
      </c>
      <c r="C50" s="23" t="s">
        <v>16</v>
      </c>
      <c r="D50" s="24"/>
      <c r="E50" s="25" t="str">
        <f>HYPERLINK("https://docs.google.com/document/d/17kSErt9oItZgn95yC0Hx5RbbQCGbBLj2/edit?usp=drivesdk&amp;ouid=105072255449691052184&amp;rtpof=true&amp;sd=true","Manager – Business Planning &amp; Analytics")</f>
        <v>Manager – Business Planning &amp; Analytics</v>
      </c>
      <c r="F50" s="24"/>
      <c r="G50" s="23" t="s">
        <v>59</v>
      </c>
      <c r="H50" s="16"/>
      <c r="I50" s="16"/>
      <c r="J50" s="16"/>
      <c r="K50" s="18" t="s">
        <v>9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9" t="s">
        <v>0</v>
      </c>
      <c r="B51" s="23" t="s">
        <v>47</v>
      </c>
      <c r="C51" s="23" t="s">
        <v>16</v>
      </c>
      <c r="D51" s="24"/>
      <c r="E51" s="25" t="str">
        <f>HYPERLINK("https://docs.google.com/document/d/19abs3NVPl1XflL97newcFw_8UaUaAwqH/edit?usp=drivesdk&amp;ouid=105072255449691052184&amp;rtpof=true&amp;sd=true","Sr. Manager – Business Planning &amp; Analytics")</f>
        <v>Sr. Manager – Business Planning &amp; Analytics</v>
      </c>
      <c r="F51" s="24"/>
      <c r="G51" s="23" t="s">
        <v>60</v>
      </c>
      <c r="H51" s="16"/>
      <c r="I51" s="16"/>
      <c r="J51" s="16"/>
      <c r="K51" s="18" t="s">
        <v>9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9" t="s">
        <v>0</v>
      </c>
      <c r="B52" s="23" t="s">
        <v>47</v>
      </c>
      <c r="C52" s="23" t="s">
        <v>16</v>
      </c>
      <c r="D52" s="24"/>
      <c r="E52" s="25" t="str">
        <f>HYPERLINK("https://docs.google.com/document/d/1_J9GL24lA0ot3YGv-y2w3_rsZAH8Xp61/edit?usp=drivesdk&amp;ouid=105072255449691052184&amp;rtpof=true&amp;sd=true","Executive – Customer Engagement (Agency)")</f>
        <v>Executive – Customer Engagement (Agency)</v>
      </c>
      <c r="F52" s="24"/>
      <c r="G52" s="23" t="s">
        <v>61</v>
      </c>
      <c r="H52" s="16"/>
      <c r="I52" s="16"/>
      <c r="J52" s="16"/>
      <c r="K52" s="18" t="s">
        <v>9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9" t="s">
        <v>0</v>
      </c>
      <c r="B53" s="23" t="s">
        <v>47</v>
      </c>
      <c r="C53" s="23" t="s">
        <v>16</v>
      </c>
      <c r="D53" s="24"/>
      <c r="E53" s="25" t="str">
        <f>HYPERLINK("https://docs.google.com/document/d/1Qh7eFXUSZ05yPSZZzWZroU_dVbYVb-Nu/edit?usp=drivesdk&amp;ouid=105072255449691052184&amp;rtpof=true&amp;sd=true","Asst. Manager – Customer Engagement")</f>
        <v>Asst. Manager – Customer Engagement</v>
      </c>
      <c r="F53" s="24"/>
      <c r="G53" s="23" t="s">
        <v>62</v>
      </c>
      <c r="H53" s="16"/>
      <c r="I53" s="16"/>
      <c r="J53" s="16"/>
      <c r="K53" s="18" t="s">
        <v>9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9" t="s">
        <v>0</v>
      </c>
      <c r="B54" s="23" t="s">
        <v>47</v>
      </c>
      <c r="C54" s="23" t="s">
        <v>16</v>
      </c>
      <c r="D54" s="24"/>
      <c r="E54" s="25" t="str">
        <f>HYPERLINK("https://docs.google.com/document/d/1skj9AGPIP1huevNCm6dIUvPg9nfX5ycA/edit?usp=drivesdk&amp;ouid=105072255449691052184&amp;rtpof=true&amp;sd=true","Deputy Manager – Customer Engagement")</f>
        <v>Deputy Manager – Customer Engagement</v>
      </c>
      <c r="F54" s="24"/>
      <c r="G54" s="23" t="s">
        <v>63</v>
      </c>
      <c r="H54" s="16"/>
      <c r="I54" s="16"/>
      <c r="J54" s="16"/>
      <c r="K54" s="18" t="s">
        <v>9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9" t="s">
        <v>0</v>
      </c>
      <c r="B55" s="23" t="s">
        <v>47</v>
      </c>
      <c r="C55" s="23" t="s">
        <v>16</v>
      </c>
      <c r="D55" s="24"/>
      <c r="E55" s="25" t="str">
        <f>HYPERLINK("https://docs.google.com/document/d/10bfg7KtMWStsnP6PRiPKJWtU6vXuZWij/edit?usp=drivesdk&amp;ouid=105072255449691052184&amp;rtpof=true&amp;sd=true","Chief Manager / Sr. Manager – Quality &amp; Service Excellence")</f>
        <v>Chief Manager / Sr. Manager – Quality &amp; Service Excellence</v>
      </c>
      <c r="F55" s="24"/>
      <c r="G55" s="23" t="s">
        <v>64</v>
      </c>
      <c r="H55" s="16"/>
      <c r="I55" s="16"/>
      <c r="J55" s="16"/>
      <c r="K55" s="18" t="s">
        <v>9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9" t="s">
        <v>0</v>
      </c>
      <c r="B56" s="23" t="s">
        <v>47</v>
      </c>
      <c r="C56" s="23" t="s">
        <v>16</v>
      </c>
      <c r="D56" s="24"/>
      <c r="E56" s="25" t="str">
        <f>HYPERLINK("https://docs.google.com/document/d/19KRVWJRb8BfY9UK1pdWXBTFYnVCHD9jn/edit?usp=drivesdk&amp;ouid=105072255449691052184&amp;rtpof=true&amp;sd=true","Customer Retention Officer")</f>
        <v>Customer Retention Officer</v>
      </c>
      <c r="F56" s="24"/>
      <c r="G56" s="23" t="s">
        <v>65</v>
      </c>
      <c r="H56" s="16"/>
      <c r="I56" s="16"/>
      <c r="J56" s="16"/>
      <c r="K56" s="18" t="s">
        <v>9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idden="1">
      <c r="A57" s="18"/>
      <c r="B57" s="23" t="s">
        <v>47</v>
      </c>
      <c r="C57" s="23" t="s">
        <v>11</v>
      </c>
      <c r="D57" s="24"/>
      <c r="E57" s="25" t="str">
        <f>HYPERLINK("https://docs.google.com/spreadsheets/d/1zegX7_Zwq55NrKHJ68_uguXNTxiZm88k/edit?usp=drivesdk&amp;ouid=105072255449691052184&amp;rtpof=true&amp;sd=true","Asst. Manager – Core Platform COE (Functional)")</f>
        <v>Asst. Manager – Core Platform COE (Functional)</v>
      </c>
      <c r="F57" s="24"/>
      <c r="G57" s="23" t="s">
        <v>66</v>
      </c>
      <c r="H57" s="16"/>
      <c r="I57" s="16"/>
      <c r="J57" s="16"/>
      <c r="K57" s="18" t="s">
        <v>9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idden="1">
      <c r="A58" s="18"/>
      <c r="B58" s="23" t="s">
        <v>47</v>
      </c>
      <c r="C58" s="23" t="s">
        <v>11</v>
      </c>
      <c r="D58" s="24"/>
      <c r="E58" s="25" t="str">
        <f>HYPERLINK("https://docs.google.com/spreadsheets/d/1zegX7_Zwq55NrKHJ68_uguXNTxiZm88k/edit?usp=drivesdk&amp;ouid=105072255449691052184&amp;rtpof=true&amp;sd=true","System Engineer (Backend)")</f>
        <v>System Engineer (Backend)</v>
      </c>
      <c r="F58" s="24"/>
      <c r="G58" s="23" t="s">
        <v>67</v>
      </c>
      <c r="H58" s="16"/>
      <c r="I58" s="16"/>
      <c r="J58" s="16"/>
      <c r="K58" s="18" t="s">
        <v>9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idden="1">
      <c r="A59" s="18"/>
      <c r="B59" s="23" t="s">
        <v>47</v>
      </c>
      <c r="C59" s="23" t="s">
        <v>11</v>
      </c>
      <c r="D59" s="24"/>
      <c r="E59" s="25" t="str">
        <f>HYPERLINK("https://docs.google.com/spreadsheets/d/1zegX7_Zwq55NrKHJ68_uguXNTxiZm88k/edit?usp=drivesdk&amp;ouid=105072255449691052184&amp;rtpof=true&amp;sd=true","Solution Architect")</f>
        <v>Solution Architect</v>
      </c>
      <c r="F59" s="24"/>
      <c r="G59" s="23" t="s">
        <v>68</v>
      </c>
      <c r="H59" s="16"/>
      <c r="I59" s="16"/>
      <c r="J59" s="16"/>
      <c r="K59" s="18" t="s">
        <v>9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idden="1">
      <c r="A60" s="18"/>
      <c r="B60" s="23" t="s">
        <v>47</v>
      </c>
      <c r="C60" s="23" t="s">
        <v>11</v>
      </c>
      <c r="D60" s="24"/>
      <c r="E60" s="25" t="str">
        <f>HYPERLINK("https://docs.google.com/spreadsheets/d/1zegX7_Zwq55NrKHJ68_uguXNTxiZm88k/edit?usp=drivesdk&amp;ouid=105072255449691052184&amp;rtpof=true&amp;sd=true","Manager – Business System Analyst")</f>
        <v>Manager – Business System Analyst</v>
      </c>
      <c r="F60" s="24"/>
      <c r="G60" s="23" t="s">
        <v>69</v>
      </c>
      <c r="H60" s="16"/>
      <c r="I60" s="16"/>
      <c r="J60" s="16"/>
      <c r="K60" s="18" t="s">
        <v>9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idden="1">
      <c r="A61" s="18"/>
      <c r="B61" s="29" t="s">
        <v>45</v>
      </c>
      <c r="C61" s="18" t="s">
        <v>2</v>
      </c>
      <c r="D61" s="18" t="s">
        <v>46</v>
      </c>
      <c r="E61" s="18" t="s">
        <v>4</v>
      </c>
      <c r="F61" s="18" t="s">
        <v>5</v>
      </c>
      <c r="G61" s="18" t="s">
        <v>6</v>
      </c>
      <c r="H61" s="16"/>
      <c r="I61" s="16"/>
      <c r="J61" s="16"/>
      <c r="K61" s="18" t="s">
        <v>0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8"/>
      <c r="B62" s="18"/>
      <c r="C62" s="18"/>
      <c r="D62" s="16"/>
      <c r="E62" s="20"/>
      <c r="F62" s="16"/>
      <c r="G62" s="18"/>
      <c r="H62" s="16"/>
      <c r="I62" s="16"/>
      <c r="J62" s="16"/>
      <c r="K62" s="18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9" t="s">
        <v>70</v>
      </c>
      <c r="B63" s="18" t="s">
        <v>71</v>
      </c>
      <c r="C63" s="18" t="s">
        <v>11</v>
      </c>
      <c r="D63" s="16"/>
      <c r="E63" s="19" t="str">
        <f>HYPERLINK("https://docs.google.com/document/d/1Og_2mlRJgYHttgMemAALFDxIC4tbczv8mtrHcMYx0TE/edit?usp=drivesdk","Sr. Executive / Asst. Manager - Automation &amp; Systems Development")</f>
        <v>Sr. Executive / Asst. Manager - Automation &amp; Systems Development</v>
      </c>
      <c r="F63" s="16"/>
      <c r="G63" s="18" t="s">
        <v>72</v>
      </c>
      <c r="H63" s="16"/>
      <c r="I63" s="16"/>
      <c r="J63" s="16"/>
      <c r="K63" s="18" t="s">
        <v>9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9" t="s">
        <v>0</v>
      </c>
      <c r="B64" s="18" t="s">
        <v>71</v>
      </c>
      <c r="C64" s="18" t="s">
        <v>11</v>
      </c>
      <c r="D64" s="16"/>
      <c r="E64" s="30" t="str">
        <f>HYPERLINK("https://docs.google.com/document/d/16mPGnWsmM1nDXO2vl30pcYIr9IpJ7MffDQSXOxg9Npg/edit?usp=drivesdk","Functional Consultant – SAP MM &amp; Salesforce")</f>
        <v>Functional Consultant – SAP MM &amp; Salesforce</v>
      </c>
      <c r="F64" s="16"/>
      <c r="G64" s="18" t="s">
        <v>73</v>
      </c>
      <c r="H64" s="16"/>
      <c r="I64" s="16"/>
      <c r="J64" s="16"/>
      <c r="K64" s="18" t="s">
        <v>9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8"/>
      <c r="B65" s="18"/>
      <c r="C65" s="18"/>
      <c r="D65" s="16"/>
      <c r="E65" s="18"/>
      <c r="F65" s="16"/>
      <c r="G65" s="18"/>
      <c r="H65" s="16"/>
      <c r="I65" s="16"/>
      <c r="J65" s="16"/>
      <c r="K65" s="18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4" t="str">
        <f t="shared" ref="A66:A71" si="2">HYPERLINK("https://forms.gle/gbe4VGocowraNdUv8","Google Form")</f>
        <v>Google Form</v>
      </c>
      <c r="B66" s="18" t="s">
        <v>74</v>
      </c>
      <c r="C66" s="31" t="s">
        <v>16</v>
      </c>
      <c r="D66" s="32"/>
      <c r="E66" s="32" t="str">
        <f>HYPERLINK("https://docs.google.com/document/d/1USA3grDsNyMMkcMw1n2grUJ3vUie-GW8/edit?usp=drivesdk&amp;ouid=105072255449691052184&amp;rtpof=true&amp;sd=true","Infosys - Finance &amp; Accounting Associate")</f>
        <v>Infosys - Finance &amp; Accounting Associate</v>
      </c>
      <c r="F66" s="16"/>
      <c r="G66" s="18" t="s">
        <v>75</v>
      </c>
      <c r="H66" s="16"/>
      <c r="I66" s="16"/>
      <c r="J66" s="16"/>
      <c r="K66" s="14" t="str">
        <f t="shared" ref="K66:K71" si="3">HYPERLINK("https://forms.gle/gbe4VGocowraNdUv8","Google Form")</f>
        <v>Google Form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4" t="str">
        <f t="shared" si="2"/>
        <v>Google Form</v>
      </c>
      <c r="B67" s="18" t="s">
        <v>74</v>
      </c>
      <c r="C67" s="15" t="s">
        <v>16</v>
      </c>
      <c r="D67" s="32"/>
      <c r="E67" s="32" t="str">
        <f>HYPERLINK("https://docs.google.com/document/d/1x3-dnhclDFG07cvxRzwjYWkFKnNGdr3f/edit?usp=drivesdk&amp;ouid=105072255449691052184&amp;rtpof=true&amp;sd=true","Infosys - Sourcing &amp; Procurement Associate")</f>
        <v>Infosys - Sourcing &amp; Procurement Associate</v>
      </c>
      <c r="F67" s="16"/>
      <c r="G67" s="18" t="s">
        <v>75</v>
      </c>
      <c r="H67" s="16"/>
      <c r="I67" s="16"/>
      <c r="J67" s="16"/>
      <c r="K67" s="14" t="str">
        <f t="shared" si="3"/>
        <v>Google Form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4" t="str">
        <f t="shared" si="2"/>
        <v>Google Form</v>
      </c>
      <c r="B68" s="18" t="s">
        <v>74</v>
      </c>
      <c r="C68" s="15" t="s">
        <v>11</v>
      </c>
      <c r="D68" s="32"/>
      <c r="E68" s="32" t="str">
        <f>HYPERLINK("https://docs.google.com/document/d/12Jp-vWG5Sm45Aqii0KUlP4YXHUIMkc7y/edit?usp=drivesdk&amp;ouid=105072255449691052184&amp;rtpof=true&amp;sd=true","Infosys - Technical Support Associate")</f>
        <v>Infosys - Technical Support Associate</v>
      </c>
      <c r="F68" s="16"/>
      <c r="G68" s="18" t="s">
        <v>75</v>
      </c>
      <c r="H68" s="16"/>
      <c r="I68" s="16"/>
      <c r="J68" s="16"/>
      <c r="K68" s="14" t="str">
        <f t="shared" si="3"/>
        <v>Google Form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4" t="str">
        <f t="shared" si="2"/>
        <v>Google Form</v>
      </c>
      <c r="B69" s="18" t="s">
        <v>74</v>
      </c>
      <c r="C69" s="15" t="s">
        <v>16</v>
      </c>
      <c r="D69" s="32"/>
      <c r="E69" s="32" t="str">
        <f>HYPERLINK("https://docs.google.com/document/d/1DmDFcstXGGAiQNC84WCNNRd6cLVHaNdW/edit?usp=drivesdk&amp;ouid=105072255449691052184&amp;rtpof=true&amp;sd=true","Infosys - Insurance Operations Associate")</f>
        <v>Infosys - Insurance Operations Associate</v>
      </c>
      <c r="F69" s="16"/>
      <c r="G69" s="18" t="s">
        <v>75</v>
      </c>
      <c r="H69" s="16"/>
      <c r="I69" s="16"/>
      <c r="J69" s="16"/>
      <c r="K69" s="14" t="str">
        <f t="shared" si="3"/>
        <v>Google Form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4" t="str">
        <f t="shared" si="2"/>
        <v>Google Form</v>
      </c>
      <c r="B70" s="18" t="s">
        <v>74</v>
      </c>
      <c r="C70" s="15" t="s">
        <v>16</v>
      </c>
      <c r="D70" s="32"/>
      <c r="E70" s="32" t="str">
        <f>HYPERLINK("https://docs.google.com/document/d/1VpLnC7hxIYyvW-VoGiUMQEhnq9sERIJP/edit?usp=drivesdk&amp;ouid=105072255449691052184&amp;rtpof=true&amp;sd=true","Infosys - Healthcare Operations Associate")</f>
        <v>Infosys - Healthcare Operations Associate</v>
      </c>
      <c r="F70" s="16"/>
      <c r="G70" s="18" t="s">
        <v>75</v>
      </c>
      <c r="H70" s="16"/>
      <c r="I70" s="16"/>
      <c r="J70" s="16"/>
      <c r="K70" s="14" t="str">
        <f t="shared" si="3"/>
        <v>Google Form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4" t="str">
        <f t="shared" si="2"/>
        <v>Google Form</v>
      </c>
      <c r="B71" s="18" t="s">
        <v>74</v>
      </c>
      <c r="C71" s="15" t="s">
        <v>16</v>
      </c>
      <c r="D71" s="32"/>
      <c r="E71" s="32" t="str">
        <f>HYPERLINK("https://docs.google.com/document/d/1RYA01wTnj7GUvtgFHUGD8gooGQF_pPlb/edit?usp=drivesdk&amp;ouid=105072255449691052184&amp;rtpof=true&amp;sd=true","Infosys - Customer Service Associate")</f>
        <v>Infosys - Customer Service Associate</v>
      </c>
      <c r="F71" s="16"/>
      <c r="G71" s="18" t="s">
        <v>75</v>
      </c>
      <c r="H71" s="16"/>
      <c r="I71" s="16"/>
      <c r="J71" s="16"/>
      <c r="K71" s="14" t="str">
        <f t="shared" si="3"/>
        <v>Google Form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20"/>
      <c r="B72" s="18"/>
      <c r="C72" s="18"/>
      <c r="D72" s="16"/>
      <c r="E72" s="20"/>
      <c r="F72" s="16"/>
      <c r="G72" s="15"/>
      <c r="H72" s="16"/>
      <c r="I72" s="18"/>
      <c r="J72" s="16"/>
      <c r="K72" s="20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9" t="s">
        <v>0</v>
      </c>
      <c r="B73" s="18" t="s">
        <v>76</v>
      </c>
      <c r="C73" s="18" t="s">
        <v>11</v>
      </c>
      <c r="D73" s="16"/>
      <c r="E73" s="19" t="s">
        <v>77</v>
      </c>
      <c r="F73" s="16"/>
      <c r="G73" s="15" t="s">
        <v>78</v>
      </c>
      <c r="H73" s="16"/>
      <c r="I73" s="18" t="s">
        <v>79</v>
      </c>
      <c r="J73" s="16"/>
      <c r="K73" s="19" t="s">
        <v>0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4" t="str">
        <f>HYPERLINK("https://forms.gle/TAA1kvbs8M7oCPvu5","Google Form")</f>
        <v>Google Form</v>
      </c>
      <c r="B74" s="18" t="s">
        <v>76</v>
      </c>
      <c r="C74" s="18" t="s">
        <v>11</v>
      </c>
      <c r="D74" s="16"/>
      <c r="E74" s="14" t="str">
        <f>HYPERLINK("https://docs.google.com/document/d/1_ANnWq8rZBeZ4xJCf5KsXouPcoZF1VIZzMsHTL3fm9A/edit","Revenue Operations Analyst II")</f>
        <v>Revenue Operations Analyst II</v>
      </c>
      <c r="F74" s="16"/>
      <c r="G74" s="15" t="s">
        <v>80</v>
      </c>
      <c r="H74" s="16"/>
      <c r="I74" s="18" t="s">
        <v>79</v>
      </c>
      <c r="J74" s="16"/>
      <c r="K74" s="14" t="str">
        <f>HYPERLINK("https://forms.gle/TAA1kvbs8M7oCPvu5","Google Form")</f>
        <v>Google Form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8"/>
      <c r="C75" s="18"/>
      <c r="D75" s="16"/>
      <c r="E75" s="16"/>
      <c r="F75" s="16"/>
      <c r="G75" s="15"/>
      <c r="H75" s="16"/>
      <c r="I75" s="18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4" t="str">
        <f t="shared" ref="A76:A78" si="4">HYPERLINK("https://forms.gle/gbe4VGocowraNdUv8","Google Form")</f>
        <v>Google Form</v>
      </c>
      <c r="B76" s="18" t="s">
        <v>81</v>
      </c>
      <c r="C76" s="18" t="s">
        <v>16</v>
      </c>
      <c r="D76" s="16"/>
      <c r="E76" s="30" t="str">
        <f>HYPERLINK("https://docs.google.com/document/d/1qdWGv3s8K_rOg1d7ClI-WkUAfIWkoqYqAor3peJfZvc/edit","Fresher Opportunities – Internships &amp; Full-Time Roles (Bengaluru)")</f>
        <v>Fresher Opportunities – Internships &amp; Full-Time Roles (Bengaluru)</v>
      </c>
      <c r="F76" s="16"/>
      <c r="G76" s="18"/>
      <c r="H76" s="16"/>
      <c r="I76" s="18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4" t="str">
        <f t="shared" si="4"/>
        <v>Google Form</v>
      </c>
      <c r="B77" s="18" t="s">
        <v>81</v>
      </c>
      <c r="C77" s="18" t="s">
        <v>82</v>
      </c>
      <c r="D77" s="16"/>
      <c r="E77" s="30" t="str">
        <f>HYPERLINK("https://docs.google.com/document/d/1YkKtYtsbO7UbgDE75pfh0sDRuahA0Y8AJ5Hvni2Q8jM/edit","Application Security / Software Engineering – Bengaluru")</f>
        <v>Application Security / Software Engineering – Bengaluru</v>
      </c>
      <c r="F77" s="16"/>
      <c r="G77" s="18" t="s">
        <v>83</v>
      </c>
      <c r="H77" s="16"/>
      <c r="I77" s="18" t="s">
        <v>84</v>
      </c>
      <c r="J77" s="16"/>
      <c r="K77" s="14" t="str">
        <f t="shared" ref="K77:K78" si="5">HYPERLINK("https://forms.gle/gbe4VGocowraNdUv8","Google Form")</f>
        <v>Google Form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4" t="str">
        <f t="shared" si="4"/>
        <v>Google Form</v>
      </c>
      <c r="B78" s="18" t="s">
        <v>81</v>
      </c>
      <c r="C78" s="18" t="s">
        <v>11</v>
      </c>
      <c r="D78" s="16"/>
      <c r="E78" s="30" t="str">
        <f>HYPERLINK("https://docs.google.com/document/d/14EiyC52NncxKiQ645U7srrDGNNEdWyH9IqtOiwSBRC0/edit","Data Engineering / AI Engineer – Bengaluru")</f>
        <v>Data Engineering / AI Engineer – Bengaluru</v>
      </c>
      <c r="F78" s="16"/>
      <c r="G78" s="18" t="s">
        <v>85</v>
      </c>
      <c r="H78" s="16"/>
      <c r="I78" s="18" t="s">
        <v>84</v>
      </c>
      <c r="J78" s="16"/>
      <c r="K78" s="14" t="str">
        <f t="shared" si="5"/>
        <v>Google Form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20"/>
      <c r="B79" s="18"/>
      <c r="C79" s="18"/>
      <c r="D79" s="16"/>
      <c r="E79" s="18"/>
      <c r="F79" s="16"/>
      <c r="G79" s="18"/>
      <c r="H79" s="16"/>
      <c r="I79" s="18"/>
      <c r="J79" s="16"/>
      <c r="K79" s="20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9" t="s">
        <v>70</v>
      </c>
      <c r="B80" s="18" t="s">
        <v>86</v>
      </c>
      <c r="C80" s="18" t="s">
        <v>11</v>
      </c>
      <c r="D80" s="16"/>
      <c r="E80" s="30" t="str">
        <f>HYPERLINK("https://docs.google.com/document/d/11xDTuUc5B-m0q-M9UtqHQjSeckHIOVU9YTJbnwXGSRo/edit","Corporate Jobs for PwD Candidates – Gurugram Walk-in")</f>
        <v>Corporate Jobs for PwD Candidates – Gurugram Walk-in</v>
      </c>
      <c r="F80" s="16"/>
      <c r="G80" s="18" t="s">
        <v>87</v>
      </c>
      <c r="H80" s="16"/>
      <c r="I80" s="18" t="s">
        <v>88</v>
      </c>
      <c r="J80" s="16"/>
      <c r="K80" s="19" t="s">
        <v>70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20"/>
      <c r="B81" s="18"/>
      <c r="C81" s="18"/>
      <c r="D81" s="16"/>
      <c r="E81" s="18"/>
      <c r="F81" s="16"/>
      <c r="G81" s="18"/>
      <c r="H81" s="16"/>
      <c r="I81" s="18"/>
      <c r="J81" s="16"/>
      <c r="K81" s="20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9" t="s">
        <v>0</v>
      </c>
      <c r="B82" s="18" t="s">
        <v>89</v>
      </c>
      <c r="C82" s="18" t="s">
        <v>16</v>
      </c>
      <c r="D82" s="16"/>
      <c r="E82" s="14" t="str">
        <f>HYPERLINK("https://docs.google.com/document/d/1PYzvhIEjjFqMnwAFnu1d3b4taKTINuTemBjyRpy3ZMA/edit","Wipro – Associate Content Moderator (Non-Voice)")</f>
        <v>Wipro – Associate Content Moderator (Non-Voice)</v>
      </c>
      <c r="F82" s="16"/>
      <c r="G82" s="18" t="s">
        <v>90</v>
      </c>
      <c r="H82" s="16"/>
      <c r="I82" s="18" t="s">
        <v>91</v>
      </c>
      <c r="J82" s="16"/>
      <c r="K82" s="19" t="s">
        <v>0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9" t="s">
        <v>92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r="1032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r="103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r="1034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</sheetData>
  <mergeCells count="2">
    <mergeCell ref="A30:AA30"/>
    <mergeCell ref="E49:F49"/>
  </mergeCells>
  <dataValidations>
    <dataValidation type="list" allowBlank="1" sqref="C1:C29 C31:C1034">
      <formula1>"Tech,Non Tech"</formula1>
    </dataValidation>
  </dataValidations>
  <hyperlinks>
    <hyperlink r:id="rId1" ref="A6"/>
    <hyperlink r:id="rId2" ref="E6"/>
    <hyperlink r:id="rId3" ref="A7"/>
    <hyperlink r:id="rId4" ref="E7"/>
    <hyperlink r:id="rId5" ref="A9"/>
    <hyperlink r:id="rId6" ref="A10"/>
    <hyperlink r:id="rId7" ref="A11"/>
    <hyperlink r:id="rId8" ref="A12"/>
    <hyperlink r:id="rId9" ref="A13"/>
    <hyperlink r:id="rId10" ref="A14"/>
    <hyperlink r:id="rId11" ref="A15"/>
    <hyperlink r:id="rId12" ref="A16"/>
    <hyperlink r:id="rId13" ref="A17"/>
    <hyperlink r:id="rId14" ref="A18"/>
    <hyperlink r:id="rId15" ref="A19"/>
    <hyperlink r:id="rId16" ref="A20"/>
    <hyperlink r:id="rId17" ref="A21"/>
    <hyperlink r:id="rId18" ref="A22"/>
    <hyperlink r:id="rId19" ref="A23"/>
    <hyperlink r:id="rId20" ref="A24"/>
    <hyperlink r:id="rId21" ref="A25"/>
    <hyperlink r:id="rId22" ref="A26"/>
    <hyperlink r:id="rId23" ref="A27"/>
    <hyperlink r:id="rId24" ref="A28"/>
    <hyperlink r:id="rId25" ref="A29"/>
    <hyperlink r:id="rId26" ref="E32"/>
    <hyperlink r:id="rId27" ref="A34"/>
    <hyperlink r:id="rId28" ref="K34"/>
    <hyperlink r:id="rId29" ref="A38"/>
    <hyperlink r:id="rId30" ref="A39"/>
    <hyperlink r:id="rId31" ref="K39"/>
    <hyperlink r:id="rId32" ref="A40"/>
    <hyperlink r:id="rId33" ref="K40"/>
    <hyperlink r:id="rId34" ref="A41"/>
    <hyperlink r:id="rId35" ref="K41"/>
    <hyperlink r:id="rId36" ref="A42"/>
    <hyperlink r:id="rId37" ref="A43"/>
    <hyperlink r:id="rId38" ref="A44"/>
    <hyperlink r:id="rId39" ref="A45"/>
    <hyperlink r:id="rId40" ref="A46"/>
    <hyperlink r:id="rId41" ref="A47"/>
    <hyperlink r:id="rId42" ref="A48"/>
    <hyperlink r:id="rId43" ref="A49"/>
    <hyperlink r:id="rId44" ref="A50"/>
    <hyperlink r:id="rId45" ref="A51"/>
    <hyperlink r:id="rId46" ref="A52"/>
    <hyperlink r:id="rId47" ref="A53"/>
    <hyperlink r:id="rId48" ref="A54"/>
    <hyperlink r:id="rId49" ref="A55"/>
    <hyperlink r:id="rId50" ref="A56"/>
    <hyperlink r:id="rId51" ref="A63"/>
    <hyperlink r:id="rId52" ref="A64"/>
    <hyperlink r:id="rId53" ref="A73"/>
    <hyperlink r:id="rId54" ref="E73"/>
    <hyperlink r:id="rId55" ref="K73"/>
    <hyperlink r:id="rId56" ref="A80"/>
    <hyperlink r:id="rId57" ref="K80"/>
    <hyperlink r:id="rId58" ref="A82"/>
    <hyperlink r:id="rId59" ref="K82"/>
    <hyperlink r:id="rId60" ref="A84"/>
  </hyperlinks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2.25"/>
    <col customWidth="1" min="3" max="3" width="26.88"/>
    <col customWidth="1" min="4" max="4" width="29.13"/>
    <col customWidth="1" min="5" max="5" width="16.0"/>
    <col customWidth="1" min="6" max="6" width="22.25"/>
    <col customWidth="1" min="7" max="7" width="26.13"/>
    <col customWidth="1" min="8" max="8" width="23.0"/>
    <col customWidth="1" min="9" max="9" width="29.0"/>
    <col customWidth="1" min="10" max="10" width="12.88"/>
    <col customWidth="1" min="11" max="11" width="18.13"/>
    <col customWidth="1" min="12" max="12" width="19.38"/>
  </cols>
  <sheetData>
    <row r="1" ht="41.25" customHeight="1">
      <c r="A1" s="33" t="s">
        <v>93</v>
      </c>
      <c r="B1" s="33" t="s">
        <v>94</v>
      </c>
      <c r="C1" s="33" t="s">
        <v>95</v>
      </c>
      <c r="D1" s="33" t="s">
        <v>96</v>
      </c>
      <c r="E1" s="33" t="s">
        <v>97</v>
      </c>
      <c r="F1" s="33" t="s">
        <v>98</v>
      </c>
      <c r="G1" s="33" t="s">
        <v>99</v>
      </c>
      <c r="H1" s="33" t="s">
        <v>100</v>
      </c>
      <c r="I1" s="33" t="s">
        <v>101</v>
      </c>
      <c r="J1" s="33" t="s">
        <v>102</v>
      </c>
      <c r="K1" s="33" t="s">
        <v>103</v>
      </c>
      <c r="L1" s="33" t="s">
        <v>104</v>
      </c>
      <c r="M1" s="33" t="s">
        <v>105</v>
      </c>
      <c r="N1" s="33" t="s">
        <v>106</v>
      </c>
      <c r="O1" s="33" t="s">
        <v>107</v>
      </c>
      <c r="P1" s="33" t="s">
        <v>108</v>
      </c>
      <c r="Q1" s="33" t="s">
        <v>109</v>
      </c>
      <c r="R1" s="33" t="s">
        <v>110</v>
      </c>
      <c r="S1" s="34"/>
      <c r="T1" s="34"/>
      <c r="U1" s="34"/>
      <c r="V1" s="34"/>
      <c r="W1" s="34"/>
      <c r="X1" s="34"/>
      <c r="Y1" s="34"/>
      <c r="Z1" s="34"/>
    </row>
    <row r="2">
      <c r="A2" s="35">
        <v>46310.29493055555</v>
      </c>
      <c r="B2" s="36" t="s">
        <v>111</v>
      </c>
      <c r="C2" s="36" t="s">
        <v>112</v>
      </c>
      <c r="D2" s="37" t="s">
        <v>113</v>
      </c>
      <c r="E2" s="37">
        <v>8.848720151E9</v>
      </c>
      <c r="F2" s="36" t="s">
        <v>114</v>
      </c>
      <c r="G2" s="36" t="s">
        <v>115</v>
      </c>
      <c r="H2" s="36" t="s">
        <v>116</v>
      </c>
      <c r="I2" s="36" t="s">
        <v>117</v>
      </c>
      <c r="J2" s="38">
        <v>0.4</v>
      </c>
      <c r="K2" s="36" t="s">
        <v>84</v>
      </c>
      <c r="L2" s="36" t="s">
        <v>118</v>
      </c>
      <c r="M2" s="36">
        <v>761000.0</v>
      </c>
      <c r="N2" s="36">
        <v>960000.0</v>
      </c>
      <c r="O2" s="36" t="s">
        <v>119</v>
      </c>
      <c r="P2" s="39"/>
      <c r="Q2" s="40" t="s">
        <v>120</v>
      </c>
      <c r="R2" s="36" t="s">
        <v>121</v>
      </c>
      <c r="S2" s="41"/>
      <c r="T2" s="41"/>
      <c r="U2" s="41"/>
      <c r="V2" s="41"/>
      <c r="W2" s="41"/>
      <c r="X2" s="41"/>
      <c r="Y2" s="41"/>
      <c r="Z2" s="41"/>
    </row>
    <row r="3">
      <c r="A3" s="35">
        <v>46310.553148148145</v>
      </c>
      <c r="B3" s="36" t="s">
        <v>111</v>
      </c>
      <c r="C3" s="36" t="s">
        <v>122</v>
      </c>
      <c r="D3" s="37" t="s">
        <v>123</v>
      </c>
      <c r="E3" s="37">
        <v>6.361002074E9</v>
      </c>
      <c r="F3" s="36" t="s">
        <v>124</v>
      </c>
      <c r="G3" s="36" t="s">
        <v>125</v>
      </c>
      <c r="H3" s="36" t="s">
        <v>126</v>
      </c>
      <c r="I3" s="36" t="s">
        <v>127</v>
      </c>
      <c r="J3" s="37">
        <v>60.0</v>
      </c>
      <c r="K3" s="36" t="s">
        <v>128</v>
      </c>
      <c r="L3" s="36" t="s">
        <v>129</v>
      </c>
      <c r="M3" s="36">
        <v>375000.0</v>
      </c>
      <c r="N3" s="36">
        <v>500000.0</v>
      </c>
      <c r="O3" s="36" t="s">
        <v>130</v>
      </c>
      <c r="P3" s="39"/>
      <c r="Q3" s="40" t="s">
        <v>131</v>
      </c>
      <c r="R3" s="36" t="s">
        <v>121</v>
      </c>
      <c r="S3" s="41"/>
      <c r="T3" s="41"/>
      <c r="U3" s="41"/>
      <c r="V3" s="41"/>
      <c r="W3" s="41"/>
      <c r="X3" s="41"/>
      <c r="Y3" s="41"/>
      <c r="Z3" s="41"/>
    </row>
    <row r="4">
      <c r="A4" s="35">
        <v>46310.71228009259</v>
      </c>
      <c r="B4" s="36" t="s">
        <v>111</v>
      </c>
      <c r="C4" s="36" t="s">
        <v>132</v>
      </c>
      <c r="D4" s="37" t="s">
        <v>133</v>
      </c>
      <c r="E4" s="37">
        <v>9.079896625E9</v>
      </c>
      <c r="F4" s="36" t="s">
        <v>134</v>
      </c>
      <c r="G4" s="36" t="s">
        <v>115</v>
      </c>
      <c r="H4" s="36" t="s">
        <v>135</v>
      </c>
      <c r="I4" s="36" t="s">
        <v>136</v>
      </c>
      <c r="J4" s="37">
        <v>60.0</v>
      </c>
      <c r="K4" s="36" t="s">
        <v>137</v>
      </c>
      <c r="L4" s="36" t="s">
        <v>84</v>
      </c>
      <c r="M4" s="36" t="s">
        <v>138</v>
      </c>
      <c r="N4" s="36" t="s">
        <v>139</v>
      </c>
      <c r="O4" s="36" t="s">
        <v>140</v>
      </c>
      <c r="P4" s="39"/>
      <c r="Q4" s="40" t="s">
        <v>141</v>
      </c>
      <c r="R4" s="36" t="s">
        <v>142</v>
      </c>
      <c r="S4" s="41"/>
      <c r="T4" s="41"/>
      <c r="U4" s="41"/>
      <c r="V4" s="41"/>
      <c r="W4" s="41"/>
      <c r="X4" s="41"/>
      <c r="Y4" s="41"/>
      <c r="Z4" s="41"/>
    </row>
    <row r="5">
      <c r="A5" s="35">
        <v>46309.887407407405</v>
      </c>
      <c r="B5" s="36" t="s">
        <v>111</v>
      </c>
      <c r="C5" s="36" t="s">
        <v>143</v>
      </c>
      <c r="D5" s="37" t="s">
        <v>144</v>
      </c>
      <c r="E5" s="37">
        <v>8.921968978E9</v>
      </c>
      <c r="F5" s="36" t="s">
        <v>145</v>
      </c>
      <c r="G5" s="36" t="s">
        <v>146</v>
      </c>
      <c r="H5" s="36" t="s">
        <v>126</v>
      </c>
      <c r="I5" s="36" t="s">
        <v>147</v>
      </c>
      <c r="J5" s="37">
        <v>80.0</v>
      </c>
      <c r="K5" s="36" t="s">
        <v>148</v>
      </c>
      <c r="L5" s="36" t="s">
        <v>84</v>
      </c>
      <c r="M5" s="36">
        <v>20000.0</v>
      </c>
      <c r="N5" s="36">
        <v>28000.0</v>
      </c>
      <c r="O5" s="36" t="s">
        <v>149</v>
      </c>
      <c r="P5" s="39"/>
      <c r="Q5" s="40" t="s">
        <v>150</v>
      </c>
      <c r="R5" s="36" t="s">
        <v>121</v>
      </c>
      <c r="S5" s="41"/>
      <c r="T5" s="41"/>
      <c r="U5" s="41"/>
      <c r="V5" s="41"/>
      <c r="W5" s="41"/>
      <c r="X5" s="41"/>
      <c r="Y5" s="41"/>
      <c r="Z5" s="41"/>
    </row>
    <row r="6">
      <c r="A6" s="35">
        <v>46310.76096064815</v>
      </c>
      <c r="B6" s="36" t="s">
        <v>111</v>
      </c>
      <c r="C6" s="36" t="s">
        <v>151</v>
      </c>
      <c r="D6" s="37" t="s">
        <v>152</v>
      </c>
      <c r="E6" s="37">
        <v>8.105140756E9</v>
      </c>
      <c r="F6" s="36" t="s">
        <v>153</v>
      </c>
      <c r="G6" s="36" t="s">
        <v>125</v>
      </c>
      <c r="H6" s="36" t="s">
        <v>154</v>
      </c>
      <c r="I6" s="36" t="s">
        <v>155</v>
      </c>
      <c r="J6" s="37">
        <v>60.0</v>
      </c>
      <c r="K6" s="36" t="s">
        <v>84</v>
      </c>
      <c r="L6" s="36" t="s">
        <v>84</v>
      </c>
      <c r="M6" s="36">
        <v>2.9</v>
      </c>
      <c r="N6" s="36">
        <v>4.5</v>
      </c>
      <c r="O6" s="36" t="s">
        <v>156</v>
      </c>
      <c r="P6" s="39"/>
      <c r="Q6" s="40" t="s">
        <v>157</v>
      </c>
      <c r="R6" s="36" t="s">
        <v>121</v>
      </c>
      <c r="S6" s="41"/>
      <c r="T6" s="41"/>
      <c r="U6" s="41"/>
      <c r="V6" s="41"/>
      <c r="W6" s="41"/>
      <c r="X6" s="41"/>
      <c r="Y6" s="41"/>
      <c r="Z6" s="41"/>
    </row>
    <row r="7">
      <c r="A7" s="35">
        <v>46310.80751157407</v>
      </c>
      <c r="B7" s="36" t="s">
        <v>158</v>
      </c>
      <c r="C7" s="36" t="s">
        <v>159</v>
      </c>
      <c r="D7" s="37" t="s">
        <v>160</v>
      </c>
      <c r="E7" s="37">
        <v>8.43169017E9</v>
      </c>
      <c r="F7" s="36" t="s">
        <v>161</v>
      </c>
      <c r="G7" s="36" t="s">
        <v>125</v>
      </c>
      <c r="H7" s="36" t="s">
        <v>126</v>
      </c>
      <c r="I7" s="36" t="s">
        <v>162</v>
      </c>
      <c r="J7" s="37">
        <v>50.0</v>
      </c>
      <c r="K7" s="36" t="s">
        <v>163</v>
      </c>
      <c r="L7" s="36" t="s">
        <v>164</v>
      </c>
      <c r="M7" s="36">
        <v>4.6</v>
      </c>
      <c r="N7" s="36" t="s">
        <v>165</v>
      </c>
      <c r="O7" s="36" t="s">
        <v>130</v>
      </c>
      <c r="P7" s="39"/>
      <c r="Q7" s="40" t="s">
        <v>166</v>
      </c>
      <c r="R7" s="36" t="s">
        <v>121</v>
      </c>
      <c r="S7" s="41"/>
      <c r="T7" s="41"/>
      <c r="U7" s="41"/>
      <c r="V7" s="41"/>
      <c r="W7" s="41"/>
      <c r="X7" s="41"/>
      <c r="Y7" s="41"/>
      <c r="Z7" s="41"/>
    </row>
    <row r="8">
      <c r="A8" s="35">
        <v>46311.44412037037</v>
      </c>
      <c r="B8" s="36" t="s">
        <v>158</v>
      </c>
      <c r="C8" s="36" t="s">
        <v>167</v>
      </c>
      <c r="D8" s="37" t="s">
        <v>168</v>
      </c>
      <c r="E8" s="37">
        <v>9.035915286E9</v>
      </c>
      <c r="F8" s="36" t="s">
        <v>169</v>
      </c>
      <c r="G8" s="36" t="s">
        <v>115</v>
      </c>
      <c r="H8" s="36" t="s">
        <v>126</v>
      </c>
      <c r="I8" s="36" t="s">
        <v>170</v>
      </c>
      <c r="J8" s="38">
        <v>0.54</v>
      </c>
      <c r="K8" s="36" t="s">
        <v>84</v>
      </c>
      <c r="L8" s="36" t="s">
        <v>84</v>
      </c>
      <c r="M8" s="36" t="s">
        <v>171</v>
      </c>
      <c r="N8" s="36" t="s">
        <v>172</v>
      </c>
      <c r="O8" s="36" t="s">
        <v>130</v>
      </c>
      <c r="P8" s="39"/>
      <c r="Q8" s="40" t="s">
        <v>173</v>
      </c>
      <c r="R8" s="36" t="s">
        <v>174</v>
      </c>
      <c r="S8" s="41"/>
      <c r="T8" s="41"/>
      <c r="U8" s="41"/>
      <c r="V8" s="41"/>
      <c r="W8" s="41"/>
      <c r="X8" s="41"/>
      <c r="Y8" s="41"/>
      <c r="Z8" s="41"/>
    </row>
    <row r="9">
      <c r="A9" s="35">
        <v>46309.89040509259</v>
      </c>
      <c r="B9" s="36" t="s">
        <v>158</v>
      </c>
      <c r="C9" s="36" t="s">
        <v>175</v>
      </c>
      <c r="D9" s="37" t="s">
        <v>176</v>
      </c>
      <c r="E9" s="37">
        <v>9.360880894E9</v>
      </c>
      <c r="F9" s="36" t="s">
        <v>177</v>
      </c>
      <c r="G9" s="36" t="s">
        <v>146</v>
      </c>
      <c r="H9" s="36" t="s">
        <v>178</v>
      </c>
      <c r="I9" s="36" t="s">
        <v>170</v>
      </c>
      <c r="J9" s="37">
        <v>50.0</v>
      </c>
      <c r="K9" s="36" t="s">
        <v>84</v>
      </c>
      <c r="L9" s="36" t="s">
        <v>84</v>
      </c>
      <c r="M9" s="36" t="s">
        <v>179</v>
      </c>
      <c r="N9" s="36" t="s">
        <v>180</v>
      </c>
      <c r="O9" s="36" t="s">
        <v>149</v>
      </c>
      <c r="P9" s="39"/>
      <c r="Q9" s="40" t="s">
        <v>181</v>
      </c>
      <c r="R9" s="36" t="s">
        <v>121</v>
      </c>
      <c r="S9" s="41"/>
      <c r="T9" s="41"/>
      <c r="U9" s="41"/>
      <c r="V9" s="41"/>
      <c r="W9" s="41"/>
      <c r="X9" s="41"/>
      <c r="Y9" s="41"/>
      <c r="Z9" s="41"/>
    </row>
    <row r="10">
      <c r="A10" s="35">
        <v>46311.39469907407</v>
      </c>
      <c r="B10" s="36" t="s">
        <v>182</v>
      </c>
      <c r="C10" s="36" t="s">
        <v>183</v>
      </c>
      <c r="D10" s="37" t="s">
        <v>184</v>
      </c>
      <c r="E10" s="37">
        <v>9.845497586E9</v>
      </c>
      <c r="F10" s="36" t="s">
        <v>153</v>
      </c>
      <c r="G10" s="36" t="s">
        <v>125</v>
      </c>
      <c r="H10" s="36" t="s">
        <v>126</v>
      </c>
      <c r="I10" s="36" t="s">
        <v>147</v>
      </c>
      <c r="J10" s="37">
        <v>60.0</v>
      </c>
      <c r="K10" s="36" t="s">
        <v>84</v>
      </c>
      <c r="L10" s="36" t="s">
        <v>185</v>
      </c>
      <c r="M10" s="36" t="s">
        <v>186</v>
      </c>
      <c r="N10" s="36" t="s">
        <v>186</v>
      </c>
      <c r="O10" s="36" t="s">
        <v>149</v>
      </c>
      <c r="P10" s="39"/>
      <c r="Q10" s="40" t="s">
        <v>187</v>
      </c>
      <c r="R10" s="36" t="s">
        <v>121</v>
      </c>
      <c r="S10" s="41"/>
      <c r="T10" s="41"/>
      <c r="U10" s="41"/>
      <c r="V10" s="41"/>
      <c r="W10" s="41"/>
      <c r="X10" s="41"/>
      <c r="Y10" s="41"/>
      <c r="Z10" s="41"/>
    </row>
    <row r="11">
      <c r="A11" s="35">
        <v>46311.41892361111</v>
      </c>
      <c r="B11" s="36" t="s">
        <v>182</v>
      </c>
      <c r="C11" s="36" t="s">
        <v>188</v>
      </c>
      <c r="D11" s="37" t="s">
        <v>189</v>
      </c>
      <c r="E11" s="37">
        <v>6.301305561E9</v>
      </c>
      <c r="F11" s="36" t="s">
        <v>35</v>
      </c>
      <c r="G11" s="36" t="s">
        <v>190</v>
      </c>
      <c r="H11" s="36" t="s">
        <v>191</v>
      </c>
      <c r="I11" s="36" t="s">
        <v>192</v>
      </c>
      <c r="J11" s="38">
        <v>0.42</v>
      </c>
      <c r="K11" s="36" t="s">
        <v>129</v>
      </c>
      <c r="L11" s="36" t="s">
        <v>129</v>
      </c>
      <c r="M11" s="36">
        <v>0.0</v>
      </c>
      <c r="N11" s="36">
        <v>0.0</v>
      </c>
      <c r="O11" s="36" t="s">
        <v>149</v>
      </c>
      <c r="P11" s="39"/>
      <c r="Q11" s="40" t="s">
        <v>193</v>
      </c>
      <c r="R11" s="36" t="s">
        <v>121</v>
      </c>
      <c r="S11" s="41"/>
      <c r="T11" s="41"/>
      <c r="U11" s="41"/>
      <c r="V11" s="41"/>
      <c r="W11" s="41"/>
      <c r="X11" s="41"/>
      <c r="Y11" s="41"/>
      <c r="Z11" s="41"/>
    </row>
    <row r="12">
      <c r="A12" s="35">
        <v>46310.642604166664</v>
      </c>
      <c r="B12" s="36" t="s">
        <v>182</v>
      </c>
      <c r="C12" s="36" t="s">
        <v>194</v>
      </c>
      <c r="D12" s="37" t="s">
        <v>195</v>
      </c>
      <c r="E12" s="37">
        <v>9.989822229E9</v>
      </c>
      <c r="F12" s="36" t="s">
        <v>196</v>
      </c>
      <c r="G12" s="36" t="s">
        <v>146</v>
      </c>
      <c r="H12" s="36" t="s">
        <v>126</v>
      </c>
      <c r="I12" s="36" t="s">
        <v>197</v>
      </c>
      <c r="J12" s="37">
        <v>64.0</v>
      </c>
      <c r="K12" s="36" t="s">
        <v>198</v>
      </c>
      <c r="L12" s="36" t="s">
        <v>199</v>
      </c>
      <c r="M12" s="36">
        <v>13.5</v>
      </c>
      <c r="N12" s="36">
        <v>20.0</v>
      </c>
      <c r="O12" s="36" t="s">
        <v>140</v>
      </c>
      <c r="P12" s="39"/>
      <c r="Q12" s="40" t="s">
        <v>200</v>
      </c>
      <c r="R12" s="36" t="s">
        <v>142</v>
      </c>
      <c r="S12" s="41"/>
      <c r="T12" s="41"/>
      <c r="U12" s="41"/>
      <c r="V12" s="41"/>
      <c r="W12" s="41"/>
      <c r="X12" s="41"/>
      <c r="Y12" s="41"/>
      <c r="Z12" s="41"/>
    </row>
    <row r="13">
      <c r="A13" s="35">
        <v>46309.89423611111</v>
      </c>
      <c r="B13" s="36" t="s">
        <v>158</v>
      </c>
      <c r="C13" s="36" t="s">
        <v>201</v>
      </c>
      <c r="D13" s="37" t="s">
        <v>202</v>
      </c>
      <c r="E13" s="37">
        <v>7.706028294E9</v>
      </c>
      <c r="F13" s="36" t="s">
        <v>153</v>
      </c>
      <c r="G13" s="36" t="s">
        <v>146</v>
      </c>
      <c r="H13" s="36" t="s">
        <v>126</v>
      </c>
      <c r="I13" s="36" t="s">
        <v>203</v>
      </c>
      <c r="J13" s="38">
        <v>0.5</v>
      </c>
      <c r="K13" s="36" t="s">
        <v>20</v>
      </c>
      <c r="L13" s="36" t="s">
        <v>204</v>
      </c>
      <c r="M13" s="36">
        <v>5.38</v>
      </c>
      <c r="N13" s="36">
        <v>7.5</v>
      </c>
      <c r="O13" s="36" t="s">
        <v>156</v>
      </c>
      <c r="P13" s="39"/>
      <c r="Q13" s="40" t="s">
        <v>205</v>
      </c>
      <c r="R13" s="36" t="s">
        <v>206</v>
      </c>
      <c r="S13" s="41"/>
      <c r="T13" s="41"/>
      <c r="U13" s="41"/>
      <c r="V13" s="41"/>
      <c r="W13" s="41"/>
      <c r="X13" s="41"/>
      <c r="Y13" s="41"/>
      <c r="Z13" s="41"/>
    </row>
    <row r="14">
      <c r="A14" s="35">
        <v>46312.45689814815</v>
      </c>
      <c r="B14" s="36" t="s">
        <v>182</v>
      </c>
      <c r="C14" s="36" t="s">
        <v>207</v>
      </c>
      <c r="D14" s="37" t="s">
        <v>208</v>
      </c>
      <c r="E14" s="37">
        <v>7.006854413E9</v>
      </c>
      <c r="F14" s="36" t="s">
        <v>209</v>
      </c>
      <c r="G14" s="36" t="s">
        <v>190</v>
      </c>
      <c r="H14" s="36" t="s">
        <v>126</v>
      </c>
      <c r="I14" s="36" t="s">
        <v>127</v>
      </c>
      <c r="J14" s="38">
        <v>0.55</v>
      </c>
      <c r="K14" s="36" t="s">
        <v>164</v>
      </c>
      <c r="L14" s="36" t="s">
        <v>164</v>
      </c>
      <c r="M14" s="36" t="s">
        <v>210</v>
      </c>
      <c r="N14" s="36" t="s">
        <v>211</v>
      </c>
      <c r="O14" s="36" t="s">
        <v>119</v>
      </c>
      <c r="P14" s="39"/>
      <c r="Q14" s="40" t="s">
        <v>212</v>
      </c>
      <c r="R14" s="36" t="s">
        <v>121</v>
      </c>
      <c r="S14" s="41"/>
      <c r="T14" s="41"/>
      <c r="U14" s="41"/>
      <c r="V14" s="41"/>
      <c r="W14" s="41"/>
      <c r="X14" s="41"/>
      <c r="Y14" s="41"/>
      <c r="Z14" s="41"/>
    </row>
    <row r="15">
      <c r="D15" s="42"/>
      <c r="E15" s="42"/>
      <c r="J15" s="42"/>
    </row>
    <row r="16">
      <c r="D16" s="42"/>
      <c r="E16" s="42"/>
      <c r="J16" s="42"/>
    </row>
    <row r="17">
      <c r="D17" s="42"/>
      <c r="E17" s="42"/>
      <c r="J17" s="42"/>
    </row>
    <row r="18">
      <c r="D18" s="42"/>
      <c r="E18" s="42"/>
      <c r="J18" s="42"/>
    </row>
    <row r="19">
      <c r="D19" s="42"/>
      <c r="E19" s="42"/>
      <c r="J19" s="42"/>
    </row>
    <row r="20">
      <c r="D20" s="42"/>
      <c r="E20" s="42"/>
      <c r="J20" s="42"/>
    </row>
    <row r="21">
      <c r="D21" s="42"/>
      <c r="E21" s="42"/>
      <c r="J21" s="42"/>
    </row>
    <row r="22">
      <c r="D22" s="42"/>
      <c r="E22" s="42"/>
      <c r="J22" s="42"/>
    </row>
    <row r="23">
      <c r="D23" s="42"/>
      <c r="E23" s="42"/>
      <c r="J23" s="42"/>
    </row>
    <row r="24">
      <c r="D24" s="42"/>
      <c r="E24" s="42"/>
      <c r="J24" s="42"/>
    </row>
    <row r="25">
      <c r="D25" s="42"/>
      <c r="E25" s="42"/>
      <c r="J25" s="42"/>
    </row>
    <row r="26">
      <c r="D26" s="42"/>
      <c r="E26" s="42"/>
      <c r="J26" s="42"/>
    </row>
    <row r="27">
      <c r="D27" s="42"/>
      <c r="E27" s="42"/>
      <c r="J27" s="42"/>
    </row>
    <row r="28">
      <c r="D28" s="42"/>
      <c r="E28" s="42"/>
      <c r="J28" s="42"/>
    </row>
    <row r="29">
      <c r="D29" s="42"/>
      <c r="E29" s="42"/>
      <c r="J29" s="42"/>
    </row>
    <row r="30">
      <c r="D30" s="42"/>
      <c r="E30" s="42"/>
      <c r="J30" s="42"/>
    </row>
    <row r="31">
      <c r="D31" s="42"/>
      <c r="E31" s="42"/>
      <c r="J31" s="42"/>
    </row>
    <row r="32">
      <c r="D32" s="42"/>
      <c r="E32" s="42"/>
      <c r="J32" s="42"/>
    </row>
    <row r="33">
      <c r="D33" s="42"/>
      <c r="E33" s="42"/>
      <c r="J33" s="42"/>
    </row>
    <row r="34">
      <c r="D34" s="42"/>
      <c r="E34" s="42"/>
      <c r="J34" s="42"/>
    </row>
    <row r="35">
      <c r="D35" s="42"/>
      <c r="E35" s="42"/>
      <c r="J35" s="42"/>
    </row>
    <row r="36">
      <c r="D36" s="42"/>
      <c r="E36" s="42"/>
      <c r="J36" s="42"/>
    </row>
    <row r="37">
      <c r="D37" s="42"/>
      <c r="E37" s="42"/>
      <c r="J37" s="42"/>
    </row>
    <row r="38">
      <c r="D38" s="42"/>
      <c r="E38" s="42"/>
      <c r="J38" s="42"/>
    </row>
    <row r="39">
      <c r="D39" s="42"/>
      <c r="E39" s="42"/>
      <c r="J39" s="42"/>
    </row>
    <row r="40">
      <c r="D40" s="42"/>
      <c r="E40" s="42"/>
      <c r="J40" s="42"/>
    </row>
    <row r="41">
      <c r="D41" s="42"/>
      <c r="E41" s="42"/>
      <c r="J41" s="42"/>
    </row>
    <row r="42">
      <c r="D42" s="42"/>
      <c r="E42" s="42"/>
      <c r="J42" s="42"/>
    </row>
    <row r="43">
      <c r="D43" s="42"/>
      <c r="E43" s="42"/>
      <c r="J43" s="42"/>
    </row>
    <row r="44">
      <c r="D44" s="42"/>
      <c r="E44" s="42"/>
      <c r="J44" s="42"/>
    </row>
    <row r="45">
      <c r="D45" s="42"/>
      <c r="E45" s="42"/>
      <c r="J45" s="42"/>
    </row>
    <row r="46">
      <c r="D46" s="42"/>
      <c r="E46" s="42"/>
      <c r="J46" s="42"/>
    </row>
    <row r="47">
      <c r="D47" s="42"/>
      <c r="E47" s="42"/>
      <c r="J47" s="42"/>
    </row>
    <row r="48">
      <c r="D48" s="42"/>
      <c r="E48" s="42"/>
      <c r="J48" s="42"/>
    </row>
    <row r="49">
      <c r="D49" s="42"/>
      <c r="E49" s="42"/>
      <c r="J49" s="42"/>
    </row>
    <row r="50">
      <c r="D50" s="42"/>
      <c r="E50" s="42"/>
      <c r="J50" s="42"/>
    </row>
    <row r="51">
      <c r="D51" s="42"/>
      <c r="E51" s="42"/>
      <c r="J51" s="42"/>
    </row>
    <row r="52">
      <c r="D52" s="42"/>
      <c r="E52" s="42"/>
      <c r="J52" s="42"/>
    </row>
    <row r="53">
      <c r="D53" s="42"/>
      <c r="E53" s="42"/>
      <c r="J53" s="42"/>
    </row>
    <row r="54">
      <c r="D54" s="42"/>
      <c r="E54" s="42"/>
      <c r="J54" s="42"/>
    </row>
    <row r="55">
      <c r="D55" s="42"/>
      <c r="E55" s="42"/>
      <c r="J55" s="42"/>
    </row>
    <row r="56">
      <c r="D56" s="42"/>
      <c r="E56" s="42"/>
      <c r="J56" s="42"/>
    </row>
    <row r="57">
      <c r="D57" s="42"/>
      <c r="E57" s="42"/>
      <c r="J57" s="42"/>
    </row>
    <row r="58">
      <c r="D58" s="42"/>
      <c r="E58" s="42"/>
      <c r="J58" s="42"/>
    </row>
    <row r="59">
      <c r="D59" s="42"/>
      <c r="E59" s="42"/>
      <c r="J59" s="42"/>
    </row>
    <row r="60">
      <c r="D60" s="42"/>
      <c r="E60" s="42"/>
      <c r="J60" s="42"/>
    </row>
    <row r="61">
      <c r="D61" s="42"/>
      <c r="E61" s="42"/>
      <c r="J61" s="42"/>
    </row>
    <row r="62">
      <c r="D62" s="42"/>
      <c r="E62" s="42"/>
      <c r="J62" s="42"/>
    </row>
    <row r="63">
      <c r="D63" s="42"/>
      <c r="E63" s="42"/>
      <c r="J63" s="42"/>
    </row>
    <row r="64">
      <c r="D64" s="42"/>
      <c r="E64" s="42"/>
      <c r="J64" s="42"/>
    </row>
    <row r="65">
      <c r="D65" s="42"/>
      <c r="E65" s="42"/>
      <c r="J65" s="42"/>
    </row>
    <row r="66">
      <c r="D66" s="42"/>
      <c r="E66" s="42"/>
      <c r="J66" s="42"/>
    </row>
    <row r="67">
      <c r="D67" s="42"/>
      <c r="E67" s="42"/>
      <c r="J67" s="42"/>
    </row>
    <row r="68">
      <c r="D68" s="42"/>
      <c r="E68" s="42"/>
      <c r="J68" s="42"/>
    </row>
    <row r="69">
      <c r="D69" s="42"/>
      <c r="E69" s="42"/>
      <c r="J69" s="42"/>
    </row>
    <row r="70">
      <c r="D70" s="42"/>
      <c r="E70" s="42"/>
      <c r="J70" s="42"/>
    </row>
    <row r="71">
      <c r="D71" s="42"/>
      <c r="E71" s="42"/>
      <c r="J71" s="42"/>
    </row>
    <row r="72">
      <c r="D72" s="42"/>
      <c r="E72" s="42"/>
      <c r="J72" s="42"/>
    </row>
    <row r="73">
      <c r="D73" s="42"/>
      <c r="E73" s="42"/>
      <c r="J73" s="42"/>
    </row>
    <row r="74">
      <c r="D74" s="42"/>
      <c r="E74" s="42"/>
      <c r="J74" s="42"/>
    </row>
    <row r="75">
      <c r="D75" s="42"/>
      <c r="E75" s="42"/>
      <c r="J75" s="42"/>
    </row>
    <row r="76">
      <c r="D76" s="42"/>
      <c r="E76" s="42"/>
      <c r="J76" s="42"/>
    </row>
    <row r="77">
      <c r="D77" s="42"/>
      <c r="E77" s="42"/>
      <c r="J77" s="42"/>
    </row>
    <row r="78">
      <c r="D78" s="42"/>
      <c r="E78" s="42"/>
      <c r="J78" s="42"/>
    </row>
    <row r="79">
      <c r="D79" s="42"/>
      <c r="E79" s="42"/>
      <c r="J79" s="42"/>
    </row>
    <row r="80">
      <c r="D80" s="42"/>
      <c r="E80" s="42"/>
      <c r="J80" s="42"/>
    </row>
    <row r="81">
      <c r="D81" s="42"/>
      <c r="E81" s="42"/>
      <c r="J81" s="42"/>
    </row>
    <row r="82">
      <c r="D82" s="42"/>
      <c r="E82" s="42"/>
      <c r="J82" s="42"/>
    </row>
    <row r="83">
      <c r="D83" s="42"/>
      <c r="E83" s="42"/>
      <c r="J83" s="42"/>
    </row>
    <row r="84">
      <c r="D84" s="42"/>
      <c r="E84" s="42"/>
      <c r="J84" s="42"/>
    </row>
    <row r="85">
      <c r="D85" s="42"/>
      <c r="E85" s="42"/>
      <c r="J85" s="42"/>
    </row>
    <row r="86">
      <c r="D86" s="42"/>
      <c r="E86" s="42"/>
      <c r="J86" s="42"/>
    </row>
    <row r="87">
      <c r="D87" s="42"/>
      <c r="E87" s="42"/>
      <c r="J87" s="42"/>
    </row>
    <row r="88">
      <c r="D88" s="42"/>
      <c r="E88" s="42"/>
      <c r="J88" s="42"/>
    </row>
    <row r="89">
      <c r="D89" s="42"/>
      <c r="E89" s="42"/>
      <c r="J89" s="42"/>
    </row>
    <row r="90">
      <c r="D90" s="42"/>
      <c r="E90" s="42"/>
      <c r="J90" s="42"/>
    </row>
    <row r="91">
      <c r="D91" s="42"/>
      <c r="E91" s="42"/>
      <c r="J91" s="42"/>
    </row>
    <row r="92">
      <c r="D92" s="42"/>
      <c r="E92" s="42"/>
      <c r="J92" s="42"/>
    </row>
    <row r="93">
      <c r="D93" s="42"/>
      <c r="E93" s="42"/>
      <c r="J93" s="42"/>
    </row>
    <row r="94">
      <c r="D94" s="42"/>
      <c r="E94" s="42"/>
      <c r="J94" s="42"/>
    </row>
    <row r="95">
      <c r="D95" s="42"/>
      <c r="E95" s="42"/>
      <c r="J95" s="42"/>
    </row>
    <row r="96">
      <c r="D96" s="42"/>
      <c r="E96" s="42"/>
      <c r="J96" s="42"/>
    </row>
    <row r="97">
      <c r="D97" s="42"/>
      <c r="E97" s="42"/>
      <c r="J97" s="42"/>
    </row>
    <row r="98">
      <c r="D98" s="42"/>
      <c r="E98" s="42"/>
      <c r="J98" s="42"/>
    </row>
    <row r="99">
      <c r="D99" s="42"/>
      <c r="E99" s="42"/>
      <c r="J99" s="42"/>
    </row>
    <row r="100">
      <c r="D100" s="42"/>
      <c r="E100" s="42"/>
      <c r="J100" s="42"/>
    </row>
    <row r="101">
      <c r="D101" s="42"/>
      <c r="E101" s="42"/>
      <c r="J101" s="42"/>
    </row>
    <row r="102">
      <c r="D102" s="42"/>
      <c r="E102" s="42"/>
      <c r="J102" s="42"/>
    </row>
    <row r="103">
      <c r="D103" s="42"/>
      <c r="E103" s="42"/>
      <c r="J103" s="42"/>
    </row>
    <row r="104">
      <c r="D104" s="42"/>
      <c r="E104" s="42"/>
      <c r="J104" s="42"/>
    </row>
    <row r="105">
      <c r="D105" s="42"/>
      <c r="E105" s="42"/>
      <c r="J105" s="42"/>
    </row>
    <row r="106">
      <c r="D106" s="42"/>
      <c r="E106" s="42"/>
      <c r="J106" s="42"/>
    </row>
    <row r="107">
      <c r="D107" s="42"/>
      <c r="E107" s="42"/>
      <c r="J107" s="42"/>
    </row>
    <row r="108">
      <c r="D108" s="42"/>
      <c r="E108" s="42"/>
      <c r="J108" s="42"/>
    </row>
    <row r="109">
      <c r="D109" s="42"/>
      <c r="E109" s="42"/>
      <c r="J109" s="42"/>
    </row>
    <row r="110">
      <c r="D110" s="42"/>
      <c r="E110" s="42"/>
      <c r="J110" s="42"/>
    </row>
    <row r="111">
      <c r="D111" s="42"/>
      <c r="E111" s="42"/>
      <c r="J111" s="42"/>
    </row>
    <row r="112">
      <c r="D112" s="42"/>
      <c r="E112" s="42"/>
      <c r="J112" s="42"/>
    </row>
    <row r="113">
      <c r="D113" s="42"/>
      <c r="E113" s="42"/>
      <c r="J113" s="42"/>
    </row>
    <row r="114">
      <c r="D114" s="42"/>
      <c r="E114" s="42"/>
      <c r="J114" s="42"/>
    </row>
    <row r="115">
      <c r="D115" s="42"/>
      <c r="E115" s="42"/>
      <c r="J115" s="42"/>
    </row>
    <row r="116">
      <c r="D116" s="42"/>
      <c r="E116" s="42"/>
      <c r="J116" s="42"/>
    </row>
    <row r="117">
      <c r="D117" s="42"/>
      <c r="E117" s="42"/>
      <c r="J117" s="42"/>
    </row>
    <row r="118">
      <c r="D118" s="42"/>
      <c r="E118" s="42"/>
      <c r="J118" s="42"/>
    </row>
    <row r="119">
      <c r="D119" s="42"/>
      <c r="E119" s="42"/>
      <c r="J119" s="42"/>
    </row>
    <row r="120">
      <c r="D120" s="42"/>
      <c r="E120" s="42"/>
      <c r="J120" s="42"/>
    </row>
    <row r="121">
      <c r="D121" s="42"/>
      <c r="E121" s="42"/>
      <c r="J121" s="42"/>
    </row>
    <row r="122">
      <c r="D122" s="42"/>
      <c r="E122" s="42"/>
      <c r="J122" s="42"/>
    </row>
    <row r="123">
      <c r="D123" s="42"/>
      <c r="E123" s="42"/>
      <c r="J123" s="42"/>
    </row>
    <row r="124">
      <c r="D124" s="42"/>
      <c r="E124" s="42"/>
      <c r="J124" s="42"/>
    </row>
    <row r="125">
      <c r="D125" s="42"/>
      <c r="E125" s="42"/>
      <c r="J125" s="42"/>
    </row>
    <row r="126">
      <c r="D126" s="42"/>
      <c r="E126" s="42"/>
      <c r="J126" s="42"/>
    </row>
    <row r="127">
      <c r="D127" s="42"/>
      <c r="E127" s="42"/>
      <c r="J127" s="42"/>
    </row>
    <row r="128">
      <c r="D128" s="42"/>
      <c r="E128" s="42"/>
      <c r="J128" s="42"/>
    </row>
    <row r="129">
      <c r="D129" s="42"/>
      <c r="E129" s="42"/>
      <c r="J129" s="42"/>
    </row>
    <row r="130">
      <c r="D130" s="42"/>
      <c r="E130" s="42"/>
      <c r="J130" s="42"/>
    </row>
    <row r="131">
      <c r="D131" s="42"/>
      <c r="E131" s="42"/>
      <c r="J131" s="42"/>
    </row>
    <row r="132">
      <c r="D132" s="42"/>
      <c r="E132" s="42"/>
      <c r="J132" s="42"/>
    </row>
    <row r="133">
      <c r="D133" s="42"/>
      <c r="E133" s="42"/>
      <c r="J133" s="42"/>
    </row>
    <row r="134">
      <c r="D134" s="42"/>
      <c r="E134" s="42"/>
      <c r="J134" s="42"/>
    </row>
    <row r="135">
      <c r="D135" s="42"/>
      <c r="E135" s="42"/>
      <c r="J135" s="42"/>
    </row>
    <row r="136">
      <c r="D136" s="42"/>
      <c r="E136" s="42"/>
      <c r="J136" s="42"/>
    </row>
    <row r="137">
      <c r="D137" s="42"/>
      <c r="E137" s="42"/>
      <c r="J137" s="42"/>
    </row>
    <row r="138">
      <c r="D138" s="42"/>
      <c r="E138" s="42"/>
      <c r="J138" s="42"/>
    </row>
    <row r="139">
      <c r="D139" s="42"/>
      <c r="E139" s="42"/>
      <c r="J139" s="42"/>
    </row>
    <row r="140">
      <c r="D140" s="42"/>
      <c r="E140" s="42"/>
      <c r="J140" s="42"/>
    </row>
    <row r="141">
      <c r="D141" s="42"/>
      <c r="E141" s="42"/>
      <c r="J141" s="42"/>
    </row>
    <row r="142">
      <c r="D142" s="42"/>
      <c r="E142" s="42"/>
      <c r="J142" s="42"/>
    </row>
    <row r="143">
      <c r="D143" s="42"/>
      <c r="E143" s="42"/>
      <c r="J143" s="42"/>
    </row>
    <row r="144">
      <c r="D144" s="42"/>
      <c r="E144" s="42"/>
      <c r="J144" s="42"/>
    </row>
    <row r="145">
      <c r="D145" s="42"/>
      <c r="E145" s="42"/>
      <c r="J145" s="42"/>
    </row>
    <row r="146">
      <c r="D146" s="42"/>
      <c r="E146" s="42"/>
      <c r="J146" s="42"/>
    </row>
    <row r="147">
      <c r="D147" s="42"/>
      <c r="E147" s="42"/>
      <c r="J147" s="42"/>
    </row>
    <row r="148">
      <c r="D148" s="42"/>
      <c r="E148" s="42"/>
      <c r="J148" s="42"/>
    </row>
    <row r="149">
      <c r="D149" s="42"/>
      <c r="E149" s="42"/>
      <c r="J149" s="42"/>
    </row>
    <row r="150">
      <c r="D150" s="42"/>
      <c r="E150" s="42"/>
      <c r="J150" s="42"/>
    </row>
    <row r="151">
      <c r="D151" s="42"/>
      <c r="E151" s="42"/>
      <c r="J151" s="42"/>
    </row>
    <row r="152">
      <c r="D152" s="42"/>
      <c r="E152" s="42"/>
      <c r="J152" s="42"/>
    </row>
    <row r="153">
      <c r="D153" s="42"/>
      <c r="E153" s="42"/>
      <c r="J153" s="42"/>
    </row>
    <row r="154">
      <c r="D154" s="42"/>
      <c r="E154" s="42"/>
      <c r="J154" s="42"/>
    </row>
    <row r="155">
      <c r="D155" s="42"/>
      <c r="E155" s="42"/>
      <c r="J155" s="42"/>
    </row>
    <row r="156">
      <c r="D156" s="42"/>
      <c r="E156" s="42"/>
      <c r="J156" s="42"/>
    </row>
    <row r="157">
      <c r="D157" s="42"/>
      <c r="E157" s="42"/>
      <c r="J157" s="42"/>
    </row>
    <row r="158">
      <c r="D158" s="42"/>
      <c r="E158" s="42"/>
      <c r="J158" s="42"/>
    </row>
    <row r="159">
      <c r="D159" s="42"/>
      <c r="E159" s="42"/>
      <c r="J159" s="42"/>
    </row>
    <row r="160">
      <c r="D160" s="42"/>
      <c r="E160" s="42"/>
      <c r="J160" s="42"/>
    </row>
    <row r="161">
      <c r="D161" s="42"/>
      <c r="E161" s="42"/>
      <c r="J161" s="42"/>
    </row>
    <row r="162">
      <c r="D162" s="42"/>
      <c r="E162" s="42"/>
      <c r="J162" s="42"/>
    </row>
    <row r="163">
      <c r="D163" s="42"/>
      <c r="E163" s="42"/>
      <c r="J163" s="42"/>
    </row>
    <row r="164">
      <c r="D164" s="42"/>
      <c r="E164" s="42"/>
      <c r="J164" s="42"/>
    </row>
    <row r="165">
      <c r="D165" s="42"/>
      <c r="E165" s="42"/>
      <c r="J165" s="42"/>
    </row>
    <row r="166">
      <c r="D166" s="42"/>
      <c r="E166" s="42"/>
      <c r="J166" s="42"/>
    </row>
    <row r="167">
      <c r="D167" s="42"/>
      <c r="E167" s="42"/>
      <c r="J167" s="42"/>
    </row>
    <row r="168">
      <c r="D168" s="42"/>
      <c r="E168" s="42"/>
      <c r="J168" s="42"/>
    </row>
    <row r="169">
      <c r="D169" s="42"/>
      <c r="E169" s="42"/>
      <c r="J169" s="42"/>
    </row>
    <row r="170">
      <c r="D170" s="42"/>
      <c r="E170" s="42"/>
      <c r="J170" s="42"/>
    </row>
    <row r="171">
      <c r="D171" s="42"/>
      <c r="E171" s="42"/>
      <c r="J171" s="42"/>
    </row>
    <row r="172">
      <c r="D172" s="42"/>
      <c r="E172" s="42"/>
      <c r="J172" s="42"/>
    </row>
    <row r="173">
      <c r="D173" s="42"/>
      <c r="E173" s="42"/>
      <c r="J173" s="42"/>
    </row>
    <row r="174">
      <c r="D174" s="42"/>
      <c r="E174" s="42"/>
      <c r="J174" s="42"/>
    </row>
    <row r="175">
      <c r="D175" s="42"/>
      <c r="E175" s="42"/>
      <c r="J175" s="42"/>
    </row>
    <row r="176">
      <c r="D176" s="42"/>
      <c r="E176" s="42"/>
      <c r="J176" s="42"/>
    </row>
    <row r="177">
      <c r="D177" s="42"/>
      <c r="E177" s="42"/>
      <c r="J177" s="42"/>
    </row>
    <row r="178">
      <c r="D178" s="42"/>
      <c r="E178" s="42"/>
      <c r="J178" s="42"/>
    </row>
    <row r="179">
      <c r="D179" s="42"/>
      <c r="E179" s="42"/>
      <c r="J179" s="42"/>
    </row>
    <row r="180">
      <c r="D180" s="42"/>
      <c r="E180" s="42"/>
      <c r="J180" s="42"/>
    </row>
    <row r="181">
      <c r="D181" s="42"/>
      <c r="E181" s="42"/>
      <c r="J181" s="42"/>
    </row>
    <row r="182">
      <c r="D182" s="42"/>
      <c r="E182" s="42"/>
      <c r="J182" s="42"/>
    </row>
    <row r="183">
      <c r="D183" s="42"/>
      <c r="E183" s="42"/>
      <c r="J183" s="42"/>
    </row>
    <row r="184">
      <c r="D184" s="42"/>
      <c r="E184" s="42"/>
      <c r="J184" s="42"/>
    </row>
    <row r="185">
      <c r="D185" s="42"/>
      <c r="E185" s="42"/>
      <c r="J185" s="42"/>
    </row>
    <row r="186">
      <c r="D186" s="42"/>
      <c r="E186" s="42"/>
      <c r="J186" s="42"/>
    </row>
    <row r="187">
      <c r="D187" s="42"/>
      <c r="E187" s="42"/>
      <c r="J187" s="42"/>
    </row>
    <row r="188">
      <c r="D188" s="42"/>
      <c r="E188" s="42"/>
      <c r="J188" s="42"/>
    </row>
    <row r="189">
      <c r="D189" s="42"/>
      <c r="E189" s="42"/>
      <c r="J189" s="42"/>
    </row>
    <row r="190">
      <c r="D190" s="42"/>
      <c r="E190" s="42"/>
      <c r="J190" s="42"/>
    </row>
    <row r="191">
      <c r="D191" s="42"/>
      <c r="E191" s="42"/>
      <c r="J191" s="42"/>
    </row>
    <row r="192">
      <c r="D192" s="42"/>
      <c r="E192" s="42"/>
      <c r="J192" s="42"/>
    </row>
    <row r="193">
      <c r="D193" s="42"/>
      <c r="E193" s="42"/>
      <c r="J193" s="42"/>
    </row>
    <row r="194">
      <c r="D194" s="42"/>
      <c r="E194" s="42"/>
      <c r="J194" s="42"/>
    </row>
    <row r="195">
      <c r="D195" s="42"/>
      <c r="E195" s="42"/>
      <c r="J195" s="42"/>
    </row>
    <row r="196">
      <c r="D196" s="42"/>
      <c r="E196" s="42"/>
      <c r="J196" s="42"/>
    </row>
    <row r="197">
      <c r="D197" s="42"/>
      <c r="E197" s="42"/>
      <c r="J197" s="42"/>
    </row>
    <row r="198">
      <c r="D198" s="42"/>
      <c r="E198" s="42"/>
      <c r="J198" s="42"/>
    </row>
    <row r="199">
      <c r="D199" s="42"/>
      <c r="E199" s="42"/>
      <c r="J199" s="42"/>
    </row>
    <row r="200">
      <c r="D200" s="42"/>
      <c r="E200" s="42"/>
      <c r="J200" s="42"/>
    </row>
    <row r="201">
      <c r="D201" s="42"/>
      <c r="E201" s="42"/>
      <c r="J201" s="42"/>
    </row>
    <row r="202">
      <c r="D202" s="42"/>
      <c r="E202" s="42"/>
      <c r="J202" s="42"/>
    </row>
    <row r="203">
      <c r="D203" s="42"/>
      <c r="E203" s="42"/>
      <c r="J203" s="42"/>
    </row>
    <row r="204">
      <c r="D204" s="42"/>
      <c r="E204" s="42"/>
      <c r="J204" s="42"/>
    </row>
    <row r="205">
      <c r="D205" s="42"/>
      <c r="E205" s="42"/>
      <c r="J205" s="42"/>
    </row>
    <row r="206">
      <c r="D206" s="42"/>
      <c r="E206" s="42"/>
      <c r="J206" s="42"/>
    </row>
    <row r="207">
      <c r="D207" s="42"/>
      <c r="E207" s="42"/>
      <c r="J207" s="42"/>
    </row>
    <row r="208">
      <c r="D208" s="42"/>
      <c r="E208" s="42"/>
      <c r="J208" s="42"/>
    </row>
    <row r="209">
      <c r="D209" s="42"/>
      <c r="E209" s="42"/>
      <c r="J209" s="42"/>
    </row>
    <row r="210">
      <c r="D210" s="42"/>
      <c r="E210" s="42"/>
      <c r="J210" s="42"/>
    </row>
    <row r="211">
      <c r="D211" s="42"/>
      <c r="E211" s="42"/>
      <c r="J211" s="42"/>
    </row>
    <row r="212">
      <c r="D212" s="42"/>
      <c r="E212" s="42"/>
      <c r="J212" s="42"/>
    </row>
    <row r="213">
      <c r="D213" s="42"/>
      <c r="E213" s="42"/>
      <c r="J213" s="42"/>
    </row>
    <row r="214">
      <c r="D214" s="42"/>
      <c r="E214" s="42"/>
      <c r="J214" s="42"/>
    </row>
    <row r="215">
      <c r="D215" s="42"/>
      <c r="E215" s="42"/>
      <c r="J215" s="42"/>
    </row>
    <row r="216">
      <c r="D216" s="42"/>
      <c r="E216" s="42"/>
      <c r="J216" s="42"/>
    </row>
    <row r="217">
      <c r="D217" s="42"/>
      <c r="E217" s="42"/>
      <c r="J217" s="42"/>
    </row>
    <row r="218">
      <c r="D218" s="42"/>
      <c r="E218" s="42"/>
      <c r="J218" s="42"/>
    </row>
    <row r="219">
      <c r="D219" s="42"/>
      <c r="E219" s="42"/>
      <c r="J219" s="42"/>
    </row>
    <row r="220">
      <c r="D220" s="42"/>
      <c r="E220" s="42"/>
      <c r="J220" s="42"/>
    </row>
    <row r="221">
      <c r="D221" s="42"/>
      <c r="E221" s="42"/>
      <c r="J221" s="42"/>
    </row>
    <row r="222">
      <c r="D222" s="42"/>
      <c r="E222" s="42"/>
      <c r="J222" s="42"/>
    </row>
    <row r="223">
      <c r="D223" s="42"/>
      <c r="E223" s="42"/>
      <c r="J223" s="42"/>
    </row>
    <row r="224">
      <c r="D224" s="42"/>
      <c r="E224" s="42"/>
      <c r="J224" s="42"/>
    </row>
    <row r="225">
      <c r="D225" s="42"/>
      <c r="E225" s="42"/>
      <c r="J225" s="42"/>
    </row>
    <row r="226">
      <c r="D226" s="42"/>
      <c r="E226" s="42"/>
      <c r="J226" s="42"/>
    </row>
    <row r="227">
      <c r="D227" s="42"/>
      <c r="E227" s="42"/>
      <c r="J227" s="42"/>
    </row>
    <row r="228">
      <c r="D228" s="42"/>
      <c r="E228" s="42"/>
      <c r="J228" s="42"/>
    </row>
    <row r="229">
      <c r="D229" s="42"/>
      <c r="E229" s="42"/>
      <c r="J229" s="42"/>
    </row>
    <row r="230">
      <c r="D230" s="42"/>
      <c r="E230" s="42"/>
      <c r="J230" s="42"/>
    </row>
    <row r="231">
      <c r="D231" s="42"/>
      <c r="E231" s="42"/>
      <c r="J231" s="42"/>
    </row>
    <row r="232">
      <c r="D232" s="42"/>
      <c r="E232" s="42"/>
      <c r="J232" s="42"/>
    </row>
    <row r="233">
      <c r="D233" s="42"/>
      <c r="E233" s="42"/>
      <c r="J233" s="42"/>
    </row>
    <row r="234">
      <c r="D234" s="42"/>
      <c r="E234" s="42"/>
      <c r="J234" s="42"/>
    </row>
    <row r="235">
      <c r="D235" s="42"/>
      <c r="E235" s="42"/>
      <c r="J235" s="42"/>
    </row>
    <row r="236">
      <c r="D236" s="42"/>
      <c r="E236" s="42"/>
      <c r="J236" s="42"/>
    </row>
    <row r="237">
      <c r="D237" s="42"/>
      <c r="E237" s="42"/>
      <c r="J237" s="42"/>
    </row>
    <row r="238">
      <c r="D238" s="42"/>
      <c r="E238" s="42"/>
      <c r="J238" s="42"/>
    </row>
    <row r="239">
      <c r="D239" s="42"/>
      <c r="E239" s="42"/>
      <c r="J239" s="42"/>
    </row>
    <row r="240">
      <c r="D240" s="42"/>
      <c r="E240" s="42"/>
      <c r="J240" s="42"/>
    </row>
    <row r="241">
      <c r="D241" s="42"/>
      <c r="E241" s="42"/>
      <c r="J241" s="42"/>
    </row>
    <row r="242">
      <c r="D242" s="42"/>
      <c r="E242" s="42"/>
      <c r="J242" s="42"/>
    </row>
    <row r="243">
      <c r="D243" s="42"/>
      <c r="E243" s="42"/>
      <c r="J243" s="42"/>
    </row>
    <row r="244">
      <c r="D244" s="42"/>
      <c r="E244" s="42"/>
      <c r="J244" s="42"/>
    </row>
    <row r="245">
      <c r="D245" s="42"/>
      <c r="E245" s="42"/>
      <c r="J245" s="42"/>
    </row>
    <row r="246">
      <c r="D246" s="42"/>
      <c r="E246" s="42"/>
      <c r="J246" s="42"/>
    </row>
    <row r="247">
      <c r="D247" s="42"/>
      <c r="E247" s="42"/>
      <c r="J247" s="42"/>
    </row>
    <row r="248">
      <c r="D248" s="42"/>
      <c r="E248" s="42"/>
      <c r="J248" s="42"/>
    </row>
    <row r="249">
      <c r="D249" s="42"/>
      <c r="E249" s="42"/>
      <c r="J249" s="42"/>
    </row>
    <row r="250">
      <c r="D250" s="42"/>
      <c r="E250" s="42"/>
      <c r="J250" s="42"/>
    </row>
    <row r="251">
      <c r="D251" s="42"/>
      <c r="E251" s="42"/>
      <c r="J251" s="42"/>
    </row>
    <row r="252">
      <c r="D252" s="42"/>
      <c r="E252" s="42"/>
      <c r="J252" s="42"/>
    </row>
    <row r="253">
      <c r="D253" s="42"/>
      <c r="E253" s="42"/>
      <c r="J253" s="42"/>
    </row>
    <row r="254">
      <c r="D254" s="42"/>
      <c r="E254" s="42"/>
      <c r="J254" s="42"/>
    </row>
    <row r="255">
      <c r="D255" s="42"/>
      <c r="E255" s="42"/>
      <c r="J255" s="42"/>
    </row>
    <row r="256">
      <c r="D256" s="42"/>
      <c r="E256" s="42"/>
      <c r="J256" s="42"/>
    </row>
    <row r="257">
      <c r="D257" s="42"/>
      <c r="E257" s="42"/>
      <c r="J257" s="42"/>
    </row>
    <row r="258">
      <c r="D258" s="42"/>
      <c r="E258" s="42"/>
      <c r="J258" s="42"/>
    </row>
    <row r="259">
      <c r="D259" s="42"/>
      <c r="E259" s="42"/>
      <c r="J259" s="42"/>
    </row>
    <row r="260">
      <c r="D260" s="42"/>
      <c r="E260" s="42"/>
      <c r="J260" s="42"/>
    </row>
    <row r="261">
      <c r="D261" s="42"/>
      <c r="E261" s="42"/>
      <c r="J261" s="42"/>
    </row>
    <row r="262">
      <c r="D262" s="42"/>
      <c r="E262" s="42"/>
      <c r="J262" s="42"/>
    </row>
    <row r="263">
      <c r="D263" s="42"/>
      <c r="E263" s="42"/>
      <c r="J263" s="42"/>
    </row>
    <row r="264">
      <c r="D264" s="42"/>
      <c r="E264" s="42"/>
      <c r="J264" s="42"/>
    </row>
    <row r="265">
      <c r="D265" s="42"/>
      <c r="E265" s="42"/>
      <c r="J265" s="42"/>
    </row>
    <row r="266">
      <c r="D266" s="42"/>
      <c r="E266" s="42"/>
      <c r="J266" s="42"/>
    </row>
    <row r="267">
      <c r="D267" s="42"/>
      <c r="E267" s="42"/>
      <c r="J267" s="42"/>
    </row>
    <row r="268">
      <c r="D268" s="42"/>
      <c r="E268" s="42"/>
      <c r="J268" s="42"/>
    </row>
    <row r="269">
      <c r="D269" s="42"/>
      <c r="E269" s="42"/>
      <c r="J269" s="42"/>
    </row>
    <row r="270">
      <c r="D270" s="42"/>
      <c r="E270" s="42"/>
      <c r="J270" s="42"/>
    </row>
    <row r="271">
      <c r="D271" s="42"/>
      <c r="E271" s="42"/>
      <c r="J271" s="42"/>
    </row>
    <row r="272">
      <c r="D272" s="42"/>
      <c r="E272" s="42"/>
      <c r="J272" s="42"/>
    </row>
    <row r="273">
      <c r="D273" s="42"/>
      <c r="E273" s="42"/>
      <c r="J273" s="42"/>
    </row>
    <row r="274">
      <c r="D274" s="42"/>
      <c r="E274" s="42"/>
      <c r="J274" s="42"/>
    </row>
    <row r="275">
      <c r="D275" s="42"/>
      <c r="E275" s="42"/>
      <c r="J275" s="42"/>
    </row>
    <row r="276">
      <c r="D276" s="42"/>
      <c r="E276" s="42"/>
      <c r="J276" s="42"/>
    </row>
    <row r="277">
      <c r="D277" s="42"/>
      <c r="E277" s="42"/>
      <c r="J277" s="42"/>
    </row>
    <row r="278">
      <c r="D278" s="42"/>
      <c r="E278" s="42"/>
      <c r="J278" s="42"/>
    </row>
    <row r="279">
      <c r="D279" s="42"/>
      <c r="E279" s="42"/>
      <c r="J279" s="42"/>
    </row>
    <row r="280">
      <c r="D280" s="42"/>
      <c r="E280" s="42"/>
      <c r="J280" s="42"/>
    </row>
    <row r="281">
      <c r="D281" s="42"/>
      <c r="E281" s="42"/>
      <c r="J281" s="42"/>
    </row>
    <row r="282">
      <c r="D282" s="42"/>
      <c r="E282" s="42"/>
      <c r="J282" s="42"/>
    </row>
    <row r="283">
      <c r="D283" s="42"/>
      <c r="E283" s="42"/>
      <c r="J283" s="42"/>
    </row>
    <row r="284">
      <c r="D284" s="42"/>
      <c r="E284" s="42"/>
      <c r="J284" s="42"/>
    </row>
    <row r="285">
      <c r="D285" s="42"/>
      <c r="E285" s="42"/>
      <c r="J285" s="42"/>
    </row>
    <row r="286">
      <c r="D286" s="42"/>
      <c r="E286" s="42"/>
      <c r="J286" s="42"/>
    </row>
    <row r="287">
      <c r="D287" s="42"/>
      <c r="E287" s="42"/>
      <c r="J287" s="42"/>
    </row>
    <row r="288">
      <c r="D288" s="42"/>
      <c r="E288" s="42"/>
      <c r="J288" s="42"/>
    </row>
    <row r="289">
      <c r="D289" s="42"/>
      <c r="E289" s="42"/>
      <c r="J289" s="42"/>
    </row>
    <row r="290">
      <c r="D290" s="42"/>
      <c r="E290" s="42"/>
      <c r="J290" s="42"/>
    </row>
    <row r="291">
      <c r="D291" s="42"/>
      <c r="E291" s="42"/>
      <c r="J291" s="42"/>
    </row>
    <row r="292">
      <c r="D292" s="42"/>
      <c r="E292" s="42"/>
      <c r="J292" s="42"/>
    </row>
    <row r="293">
      <c r="D293" s="42"/>
      <c r="E293" s="42"/>
      <c r="J293" s="42"/>
    </row>
    <row r="294">
      <c r="D294" s="42"/>
      <c r="E294" s="42"/>
      <c r="J294" s="42"/>
    </row>
    <row r="295">
      <c r="D295" s="42"/>
      <c r="E295" s="42"/>
      <c r="J295" s="42"/>
    </row>
    <row r="296">
      <c r="D296" s="42"/>
      <c r="E296" s="42"/>
      <c r="J296" s="42"/>
    </row>
    <row r="297">
      <c r="D297" s="42"/>
      <c r="E297" s="42"/>
      <c r="J297" s="42"/>
    </row>
    <row r="298">
      <c r="D298" s="42"/>
      <c r="E298" s="42"/>
      <c r="J298" s="42"/>
    </row>
    <row r="299">
      <c r="D299" s="42"/>
      <c r="E299" s="42"/>
      <c r="J299" s="42"/>
    </row>
    <row r="300">
      <c r="D300" s="42"/>
      <c r="E300" s="42"/>
      <c r="J300" s="42"/>
    </row>
    <row r="301">
      <c r="D301" s="42"/>
      <c r="E301" s="42"/>
      <c r="J301" s="42"/>
    </row>
    <row r="302">
      <c r="D302" s="42"/>
      <c r="E302" s="42"/>
      <c r="J302" s="42"/>
    </row>
    <row r="303">
      <c r="D303" s="42"/>
      <c r="E303" s="42"/>
      <c r="J303" s="42"/>
    </row>
    <row r="304">
      <c r="D304" s="42"/>
      <c r="E304" s="42"/>
      <c r="J304" s="42"/>
    </row>
    <row r="305">
      <c r="D305" s="42"/>
      <c r="E305" s="42"/>
      <c r="J305" s="42"/>
    </row>
    <row r="306">
      <c r="D306" s="42"/>
      <c r="E306" s="42"/>
      <c r="J306" s="42"/>
    </row>
    <row r="307">
      <c r="D307" s="42"/>
      <c r="E307" s="42"/>
      <c r="J307" s="42"/>
    </row>
    <row r="308">
      <c r="D308" s="42"/>
      <c r="E308" s="42"/>
      <c r="J308" s="42"/>
    </row>
    <row r="309">
      <c r="D309" s="42"/>
      <c r="E309" s="42"/>
      <c r="J309" s="42"/>
    </row>
    <row r="310">
      <c r="D310" s="42"/>
      <c r="E310" s="42"/>
      <c r="J310" s="42"/>
    </row>
    <row r="311">
      <c r="D311" s="42"/>
      <c r="E311" s="42"/>
      <c r="J311" s="42"/>
    </row>
    <row r="312">
      <c r="D312" s="42"/>
      <c r="E312" s="42"/>
      <c r="J312" s="42"/>
    </row>
    <row r="313">
      <c r="D313" s="42"/>
      <c r="E313" s="42"/>
      <c r="J313" s="42"/>
    </row>
    <row r="314">
      <c r="D314" s="42"/>
      <c r="E314" s="42"/>
      <c r="J314" s="42"/>
    </row>
    <row r="315">
      <c r="D315" s="42"/>
      <c r="E315" s="42"/>
      <c r="J315" s="42"/>
    </row>
    <row r="316">
      <c r="D316" s="42"/>
      <c r="E316" s="42"/>
      <c r="J316" s="42"/>
    </row>
    <row r="317">
      <c r="D317" s="42"/>
      <c r="E317" s="42"/>
      <c r="J317" s="42"/>
    </row>
    <row r="318">
      <c r="D318" s="42"/>
      <c r="E318" s="42"/>
      <c r="J318" s="42"/>
    </row>
    <row r="319">
      <c r="D319" s="42"/>
      <c r="E319" s="42"/>
      <c r="J319" s="42"/>
    </row>
    <row r="320">
      <c r="D320" s="42"/>
      <c r="E320" s="42"/>
      <c r="J320" s="42"/>
    </row>
    <row r="321">
      <c r="D321" s="42"/>
      <c r="E321" s="42"/>
      <c r="J321" s="42"/>
    </row>
    <row r="322">
      <c r="D322" s="42"/>
      <c r="E322" s="42"/>
      <c r="J322" s="42"/>
    </row>
    <row r="323">
      <c r="D323" s="42"/>
      <c r="E323" s="42"/>
      <c r="J323" s="42"/>
    </row>
    <row r="324">
      <c r="D324" s="42"/>
      <c r="E324" s="42"/>
      <c r="J324" s="42"/>
    </row>
    <row r="325">
      <c r="D325" s="42"/>
      <c r="E325" s="42"/>
      <c r="J325" s="42"/>
    </row>
    <row r="326">
      <c r="D326" s="42"/>
      <c r="E326" s="42"/>
      <c r="J326" s="42"/>
    </row>
    <row r="327">
      <c r="D327" s="42"/>
      <c r="E327" s="42"/>
      <c r="J327" s="42"/>
    </row>
    <row r="328">
      <c r="D328" s="42"/>
      <c r="E328" s="42"/>
      <c r="J328" s="42"/>
    </row>
    <row r="329">
      <c r="D329" s="42"/>
      <c r="E329" s="42"/>
      <c r="J329" s="42"/>
    </row>
    <row r="330">
      <c r="D330" s="42"/>
      <c r="E330" s="42"/>
      <c r="J330" s="42"/>
    </row>
    <row r="331">
      <c r="D331" s="42"/>
      <c r="E331" s="42"/>
      <c r="J331" s="42"/>
    </row>
    <row r="332">
      <c r="D332" s="42"/>
      <c r="E332" s="42"/>
      <c r="J332" s="42"/>
    </row>
    <row r="333">
      <c r="D333" s="42"/>
      <c r="E333" s="42"/>
      <c r="J333" s="42"/>
    </row>
    <row r="334">
      <c r="D334" s="42"/>
      <c r="E334" s="42"/>
      <c r="J334" s="42"/>
    </row>
    <row r="335">
      <c r="D335" s="42"/>
      <c r="E335" s="42"/>
      <c r="J335" s="42"/>
    </row>
    <row r="336">
      <c r="D336" s="42"/>
      <c r="E336" s="42"/>
      <c r="J336" s="42"/>
    </row>
    <row r="337">
      <c r="D337" s="42"/>
      <c r="E337" s="42"/>
      <c r="J337" s="42"/>
    </row>
    <row r="338">
      <c r="D338" s="42"/>
      <c r="E338" s="42"/>
      <c r="J338" s="42"/>
    </row>
    <row r="339">
      <c r="D339" s="42"/>
      <c r="E339" s="42"/>
      <c r="J339" s="42"/>
    </row>
    <row r="340">
      <c r="D340" s="42"/>
      <c r="E340" s="42"/>
      <c r="J340" s="42"/>
    </row>
    <row r="341">
      <c r="D341" s="42"/>
      <c r="E341" s="42"/>
      <c r="J341" s="42"/>
    </row>
    <row r="342">
      <c r="D342" s="42"/>
      <c r="E342" s="42"/>
      <c r="J342" s="42"/>
    </row>
    <row r="343">
      <c r="D343" s="42"/>
      <c r="E343" s="42"/>
      <c r="J343" s="42"/>
    </row>
    <row r="344">
      <c r="D344" s="42"/>
      <c r="E344" s="42"/>
      <c r="J344" s="42"/>
    </row>
    <row r="345">
      <c r="D345" s="42"/>
      <c r="E345" s="42"/>
      <c r="J345" s="42"/>
    </row>
    <row r="346">
      <c r="D346" s="42"/>
      <c r="E346" s="42"/>
      <c r="J346" s="42"/>
    </row>
    <row r="347">
      <c r="D347" s="42"/>
      <c r="E347" s="42"/>
      <c r="J347" s="42"/>
    </row>
    <row r="348">
      <c r="D348" s="42"/>
      <c r="E348" s="42"/>
      <c r="J348" s="42"/>
    </row>
    <row r="349">
      <c r="D349" s="42"/>
      <c r="E349" s="42"/>
      <c r="J349" s="42"/>
    </row>
    <row r="350">
      <c r="D350" s="42"/>
      <c r="E350" s="42"/>
      <c r="J350" s="42"/>
    </row>
    <row r="351">
      <c r="D351" s="42"/>
      <c r="E351" s="42"/>
      <c r="J351" s="42"/>
    </row>
    <row r="352">
      <c r="D352" s="42"/>
      <c r="E352" s="42"/>
      <c r="J352" s="42"/>
    </row>
    <row r="353">
      <c r="D353" s="42"/>
      <c r="E353" s="42"/>
      <c r="J353" s="42"/>
    </row>
    <row r="354">
      <c r="D354" s="42"/>
      <c r="E354" s="42"/>
      <c r="J354" s="42"/>
    </row>
    <row r="355">
      <c r="D355" s="42"/>
      <c r="E355" s="42"/>
      <c r="J355" s="42"/>
    </row>
    <row r="356">
      <c r="D356" s="42"/>
      <c r="E356" s="42"/>
      <c r="J356" s="42"/>
    </row>
    <row r="357">
      <c r="D357" s="42"/>
      <c r="E357" s="42"/>
      <c r="J357" s="42"/>
    </row>
    <row r="358">
      <c r="D358" s="42"/>
      <c r="E358" s="42"/>
      <c r="J358" s="42"/>
    </row>
    <row r="359">
      <c r="D359" s="42"/>
      <c r="E359" s="42"/>
      <c r="J359" s="42"/>
    </row>
    <row r="360">
      <c r="D360" s="42"/>
      <c r="E360" s="42"/>
      <c r="J360" s="42"/>
    </row>
    <row r="361">
      <c r="D361" s="42"/>
      <c r="E361" s="42"/>
      <c r="J361" s="42"/>
    </row>
    <row r="362">
      <c r="D362" s="42"/>
      <c r="E362" s="42"/>
      <c r="J362" s="42"/>
    </row>
    <row r="363">
      <c r="D363" s="42"/>
      <c r="E363" s="42"/>
      <c r="J363" s="42"/>
    </row>
    <row r="364">
      <c r="D364" s="42"/>
      <c r="E364" s="42"/>
      <c r="J364" s="42"/>
    </row>
    <row r="365">
      <c r="D365" s="42"/>
      <c r="E365" s="42"/>
      <c r="J365" s="42"/>
    </row>
    <row r="366">
      <c r="D366" s="42"/>
      <c r="E366" s="42"/>
      <c r="J366" s="42"/>
    </row>
    <row r="367">
      <c r="D367" s="42"/>
      <c r="E367" s="42"/>
      <c r="J367" s="42"/>
    </row>
    <row r="368">
      <c r="D368" s="42"/>
      <c r="E368" s="42"/>
      <c r="J368" s="42"/>
    </row>
    <row r="369">
      <c r="D369" s="42"/>
      <c r="E369" s="42"/>
      <c r="J369" s="42"/>
    </row>
    <row r="370">
      <c r="D370" s="42"/>
      <c r="E370" s="42"/>
      <c r="J370" s="42"/>
    </row>
    <row r="371">
      <c r="D371" s="42"/>
      <c r="E371" s="42"/>
      <c r="J371" s="42"/>
    </row>
    <row r="372">
      <c r="D372" s="42"/>
      <c r="E372" s="42"/>
      <c r="J372" s="42"/>
    </row>
    <row r="373">
      <c r="D373" s="42"/>
      <c r="E373" s="42"/>
      <c r="J373" s="42"/>
    </row>
    <row r="374">
      <c r="D374" s="42"/>
      <c r="E374" s="42"/>
      <c r="J374" s="42"/>
    </row>
    <row r="375">
      <c r="D375" s="42"/>
      <c r="E375" s="42"/>
      <c r="J375" s="42"/>
    </row>
    <row r="376">
      <c r="D376" s="42"/>
      <c r="E376" s="42"/>
      <c r="J376" s="42"/>
    </row>
    <row r="377">
      <c r="D377" s="42"/>
      <c r="E377" s="42"/>
      <c r="J377" s="42"/>
    </row>
    <row r="378">
      <c r="D378" s="42"/>
      <c r="E378" s="42"/>
      <c r="J378" s="42"/>
    </row>
    <row r="379">
      <c r="D379" s="42"/>
      <c r="E379" s="42"/>
      <c r="J379" s="42"/>
    </row>
    <row r="380">
      <c r="D380" s="42"/>
      <c r="E380" s="42"/>
      <c r="J380" s="42"/>
    </row>
    <row r="381">
      <c r="D381" s="42"/>
      <c r="E381" s="42"/>
      <c r="J381" s="42"/>
    </row>
    <row r="382">
      <c r="D382" s="42"/>
      <c r="E382" s="42"/>
      <c r="J382" s="42"/>
    </row>
    <row r="383">
      <c r="D383" s="42"/>
      <c r="E383" s="42"/>
      <c r="J383" s="42"/>
    </row>
    <row r="384">
      <c r="D384" s="42"/>
      <c r="E384" s="42"/>
      <c r="J384" s="42"/>
    </row>
    <row r="385">
      <c r="D385" s="42"/>
      <c r="E385" s="42"/>
      <c r="J385" s="42"/>
    </row>
    <row r="386">
      <c r="D386" s="42"/>
      <c r="E386" s="42"/>
      <c r="J386" s="42"/>
    </row>
    <row r="387">
      <c r="D387" s="42"/>
      <c r="E387" s="42"/>
      <c r="J387" s="42"/>
    </row>
    <row r="388">
      <c r="D388" s="42"/>
      <c r="E388" s="42"/>
      <c r="J388" s="42"/>
    </row>
    <row r="389">
      <c r="D389" s="42"/>
      <c r="E389" s="42"/>
      <c r="J389" s="42"/>
    </row>
    <row r="390">
      <c r="D390" s="42"/>
      <c r="E390" s="42"/>
      <c r="J390" s="42"/>
    </row>
    <row r="391">
      <c r="D391" s="42"/>
      <c r="E391" s="42"/>
      <c r="J391" s="42"/>
    </row>
    <row r="392">
      <c r="D392" s="42"/>
      <c r="E392" s="42"/>
      <c r="J392" s="42"/>
    </row>
    <row r="393">
      <c r="D393" s="42"/>
      <c r="E393" s="42"/>
      <c r="J393" s="42"/>
    </row>
    <row r="394">
      <c r="D394" s="42"/>
      <c r="E394" s="42"/>
      <c r="J394" s="42"/>
    </row>
    <row r="395">
      <c r="D395" s="42"/>
      <c r="E395" s="42"/>
      <c r="J395" s="42"/>
    </row>
    <row r="396">
      <c r="D396" s="42"/>
      <c r="E396" s="42"/>
      <c r="J396" s="42"/>
    </row>
    <row r="397">
      <c r="D397" s="42"/>
      <c r="E397" s="42"/>
      <c r="J397" s="42"/>
    </row>
    <row r="398">
      <c r="D398" s="42"/>
      <c r="E398" s="42"/>
      <c r="J398" s="42"/>
    </row>
    <row r="399">
      <c r="D399" s="42"/>
      <c r="E399" s="42"/>
      <c r="J399" s="42"/>
    </row>
    <row r="400">
      <c r="D400" s="42"/>
      <c r="E400" s="42"/>
      <c r="J400" s="42"/>
    </row>
    <row r="401">
      <c r="D401" s="42"/>
      <c r="E401" s="42"/>
      <c r="J401" s="42"/>
    </row>
    <row r="402">
      <c r="D402" s="42"/>
      <c r="E402" s="42"/>
      <c r="J402" s="42"/>
    </row>
    <row r="403">
      <c r="D403" s="42"/>
      <c r="E403" s="42"/>
      <c r="J403" s="42"/>
    </row>
    <row r="404">
      <c r="D404" s="42"/>
      <c r="E404" s="42"/>
      <c r="J404" s="42"/>
    </row>
    <row r="405">
      <c r="D405" s="42"/>
      <c r="E405" s="42"/>
      <c r="J405" s="42"/>
    </row>
    <row r="406">
      <c r="D406" s="42"/>
      <c r="E406" s="42"/>
      <c r="J406" s="42"/>
    </row>
    <row r="407">
      <c r="D407" s="42"/>
      <c r="E407" s="42"/>
      <c r="J407" s="42"/>
    </row>
    <row r="408">
      <c r="D408" s="42"/>
      <c r="E408" s="42"/>
      <c r="J408" s="42"/>
    </row>
    <row r="409">
      <c r="D409" s="42"/>
      <c r="E409" s="42"/>
      <c r="J409" s="42"/>
    </row>
    <row r="410">
      <c r="D410" s="42"/>
      <c r="E410" s="42"/>
      <c r="J410" s="42"/>
    </row>
    <row r="411">
      <c r="D411" s="42"/>
      <c r="E411" s="42"/>
      <c r="J411" s="42"/>
    </row>
    <row r="412">
      <c r="D412" s="42"/>
      <c r="E412" s="42"/>
      <c r="J412" s="42"/>
    </row>
    <row r="413">
      <c r="D413" s="42"/>
      <c r="E413" s="42"/>
      <c r="J413" s="42"/>
    </row>
    <row r="414">
      <c r="D414" s="42"/>
      <c r="E414" s="42"/>
      <c r="J414" s="42"/>
    </row>
    <row r="415">
      <c r="D415" s="42"/>
      <c r="E415" s="42"/>
      <c r="J415" s="42"/>
    </row>
    <row r="416">
      <c r="D416" s="42"/>
      <c r="E416" s="42"/>
      <c r="J416" s="42"/>
    </row>
    <row r="417">
      <c r="D417" s="42"/>
      <c r="E417" s="42"/>
      <c r="J417" s="42"/>
    </row>
    <row r="418">
      <c r="D418" s="42"/>
      <c r="E418" s="42"/>
      <c r="J418" s="42"/>
    </row>
    <row r="419">
      <c r="D419" s="42"/>
      <c r="E419" s="42"/>
      <c r="J419" s="42"/>
    </row>
    <row r="420">
      <c r="D420" s="42"/>
      <c r="E420" s="42"/>
      <c r="J420" s="42"/>
    </row>
    <row r="421">
      <c r="D421" s="42"/>
      <c r="E421" s="42"/>
      <c r="J421" s="42"/>
    </row>
    <row r="422">
      <c r="D422" s="42"/>
      <c r="E422" s="42"/>
      <c r="J422" s="42"/>
    </row>
    <row r="423">
      <c r="D423" s="42"/>
      <c r="E423" s="42"/>
      <c r="J423" s="42"/>
    </row>
    <row r="424">
      <c r="D424" s="42"/>
      <c r="E424" s="42"/>
      <c r="J424" s="42"/>
    </row>
    <row r="425">
      <c r="D425" s="42"/>
      <c r="E425" s="42"/>
      <c r="J425" s="42"/>
    </row>
    <row r="426">
      <c r="D426" s="42"/>
      <c r="E426" s="42"/>
      <c r="J426" s="42"/>
    </row>
    <row r="427">
      <c r="D427" s="42"/>
      <c r="E427" s="42"/>
      <c r="J427" s="42"/>
    </row>
    <row r="428">
      <c r="D428" s="42"/>
      <c r="E428" s="42"/>
      <c r="J428" s="42"/>
    </row>
    <row r="429">
      <c r="D429" s="42"/>
      <c r="E429" s="42"/>
      <c r="J429" s="42"/>
    </row>
    <row r="430">
      <c r="D430" s="42"/>
      <c r="E430" s="42"/>
      <c r="J430" s="42"/>
    </row>
    <row r="431">
      <c r="D431" s="42"/>
      <c r="E431" s="42"/>
      <c r="J431" s="42"/>
    </row>
    <row r="432">
      <c r="D432" s="42"/>
      <c r="E432" s="42"/>
      <c r="J432" s="42"/>
    </row>
    <row r="433">
      <c r="D433" s="42"/>
      <c r="E433" s="42"/>
      <c r="J433" s="42"/>
    </row>
    <row r="434">
      <c r="D434" s="42"/>
      <c r="E434" s="42"/>
      <c r="J434" s="42"/>
    </row>
    <row r="435">
      <c r="D435" s="42"/>
      <c r="E435" s="42"/>
      <c r="J435" s="42"/>
    </row>
    <row r="436">
      <c r="D436" s="42"/>
      <c r="E436" s="42"/>
      <c r="J436" s="42"/>
    </row>
    <row r="437">
      <c r="D437" s="42"/>
      <c r="E437" s="42"/>
      <c r="J437" s="42"/>
    </row>
    <row r="438">
      <c r="D438" s="42"/>
      <c r="E438" s="42"/>
      <c r="J438" s="42"/>
    </row>
    <row r="439">
      <c r="D439" s="42"/>
      <c r="E439" s="42"/>
      <c r="J439" s="42"/>
    </row>
    <row r="440">
      <c r="D440" s="42"/>
      <c r="E440" s="42"/>
      <c r="J440" s="42"/>
    </row>
    <row r="441">
      <c r="D441" s="42"/>
      <c r="E441" s="42"/>
      <c r="J441" s="42"/>
    </row>
    <row r="442">
      <c r="D442" s="42"/>
      <c r="E442" s="42"/>
      <c r="J442" s="42"/>
    </row>
    <row r="443">
      <c r="D443" s="42"/>
      <c r="E443" s="42"/>
      <c r="J443" s="42"/>
    </row>
    <row r="444">
      <c r="D444" s="42"/>
      <c r="E444" s="42"/>
      <c r="J444" s="42"/>
    </row>
    <row r="445">
      <c r="D445" s="42"/>
      <c r="E445" s="42"/>
      <c r="J445" s="42"/>
    </row>
    <row r="446">
      <c r="D446" s="42"/>
      <c r="E446" s="42"/>
      <c r="J446" s="42"/>
    </row>
    <row r="447">
      <c r="D447" s="42"/>
      <c r="E447" s="42"/>
      <c r="J447" s="42"/>
    </row>
    <row r="448">
      <c r="D448" s="42"/>
      <c r="E448" s="42"/>
      <c r="J448" s="42"/>
    </row>
    <row r="449">
      <c r="D449" s="42"/>
      <c r="E449" s="42"/>
      <c r="J449" s="42"/>
    </row>
    <row r="450">
      <c r="D450" s="42"/>
      <c r="E450" s="42"/>
      <c r="J450" s="42"/>
    </row>
    <row r="451">
      <c r="D451" s="42"/>
      <c r="E451" s="42"/>
      <c r="J451" s="42"/>
    </row>
    <row r="452">
      <c r="D452" s="42"/>
      <c r="E452" s="42"/>
      <c r="J452" s="42"/>
    </row>
    <row r="453">
      <c r="D453" s="42"/>
      <c r="E453" s="42"/>
      <c r="J453" s="42"/>
    </row>
    <row r="454">
      <c r="D454" s="42"/>
      <c r="E454" s="42"/>
      <c r="J454" s="42"/>
    </row>
    <row r="455">
      <c r="D455" s="42"/>
      <c r="E455" s="42"/>
      <c r="J455" s="42"/>
    </row>
    <row r="456">
      <c r="D456" s="42"/>
      <c r="E456" s="42"/>
      <c r="J456" s="42"/>
    </row>
    <row r="457">
      <c r="D457" s="42"/>
      <c r="E457" s="42"/>
      <c r="J457" s="42"/>
    </row>
    <row r="458">
      <c r="D458" s="42"/>
      <c r="E458" s="42"/>
      <c r="J458" s="42"/>
    </row>
    <row r="459">
      <c r="D459" s="42"/>
      <c r="E459" s="42"/>
      <c r="J459" s="42"/>
    </row>
    <row r="460">
      <c r="D460" s="42"/>
      <c r="E460" s="42"/>
      <c r="J460" s="42"/>
    </row>
    <row r="461">
      <c r="D461" s="42"/>
      <c r="E461" s="42"/>
      <c r="J461" s="42"/>
    </row>
    <row r="462">
      <c r="D462" s="42"/>
      <c r="E462" s="42"/>
      <c r="J462" s="42"/>
    </row>
    <row r="463">
      <c r="D463" s="42"/>
      <c r="E463" s="42"/>
      <c r="J463" s="42"/>
    </row>
    <row r="464">
      <c r="D464" s="42"/>
      <c r="E464" s="42"/>
      <c r="J464" s="42"/>
    </row>
    <row r="465">
      <c r="D465" s="42"/>
      <c r="E465" s="42"/>
      <c r="J465" s="42"/>
    </row>
    <row r="466">
      <c r="D466" s="42"/>
      <c r="E466" s="42"/>
      <c r="J466" s="42"/>
    </row>
    <row r="467">
      <c r="D467" s="42"/>
      <c r="E467" s="42"/>
      <c r="J467" s="42"/>
    </row>
    <row r="468">
      <c r="D468" s="42"/>
      <c r="E468" s="42"/>
      <c r="J468" s="42"/>
    </row>
    <row r="469">
      <c r="D469" s="42"/>
      <c r="E469" s="42"/>
      <c r="J469" s="42"/>
    </row>
    <row r="470">
      <c r="D470" s="42"/>
      <c r="E470" s="42"/>
      <c r="J470" s="42"/>
    </row>
    <row r="471">
      <c r="D471" s="42"/>
      <c r="E471" s="42"/>
      <c r="J471" s="42"/>
    </row>
    <row r="472">
      <c r="D472" s="42"/>
      <c r="E472" s="42"/>
      <c r="J472" s="42"/>
    </row>
    <row r="473">
      <c r="D473" s="42"/>
      <c r="E473" s="42"/>
      <c r="J473" s="42"/>
    </row>
    <row r="474">
      <c r="D474" s="42"/>
      <c r="E474" s="42"/>
      <c r="J474" s="42"/>
    </row>
    <row r="475">
      <c r="D475" s="42"/>
      <c r="E475" s="42"/>
      <c r="J475" s="42"/>
    </row>
    <row r="476">
      <c r="D476" s="42"/>
      <c r="E476" s="42"/>
      <c r="J476" s="42"/>
    </row>
    <row r="477">
      <c r="D477" s="42"/>
      <c r="E477" s="42"/>
      <c r="J477" s="42"/>
    </row>
    <row r="478">
      <c r="D478" s="42"/>
      <c r="E478" s="42"/>
      <c r="J478" s="42"/>
    </row>
    <row r="479">
      <c r="D479" s="42"/>
      <c r="E479" s="42"/>
      <c r="J479" s="42"/>
    </row>
    <row r="480">
      <c r="D480" s="42"/>
      <c r="E480" s="42"/>
      <c r="J480" s="42"/>
    </row>
    <row r="481">
      <c r="D481" s="42"/>
      <c r="E481" s="42"/>
      <c r="J481" s="42"/>
    </row>
    <row r="482">
      <c r="D482" s="42"/>
      <c r="E482" s="42"/>
      <c r="J482" s="42"/>
    </row>
    <row r="483">
      <c r="D483" s="42"/>
      <c r="E483" s="42"/>
      <c r="J483" s="42"/>
    </row>
    <row r="484">
      <c r="D484" s="42"/>
      <c r="E484" s="42"/>
      <c r="J484" s="42"/>
    </row>
    <row r="485">
      <c r="D485" s="42"/>
      <c r="E485" s="42"/>
      <c r="J485" s="42"/>
    </row>
    <row r="486">
      <c r="D486" s="42"/>
      <c r="E486" s="42"/>
      <c r="J486" s="42"/>
    </row>
    <row r="487">
      <c r="D487" s="42"/>
      <c r="E487" s="42"/>
      <c r="J487" s="42"/>
    </row>
    <row r="488">
      <c r="D488" s="42"/>
      <c r="E488" s="42"/>
      <c r="J488" s="42"/>
    </row>
    <row r="489">
      <c r="D489" s="42"/>
      <c r="E489" s="42"/>
      <c r="J489" s="42"/>
    </row>
    <row r="490">
      <c r="D490" s="42"/>
      <c r="E490" s="42"/>
      <c r="J490" s="42"/>
    </row>
    <row r="491">
      <c r="D491" s="42"/>
      <c r="E491" s="42"/>
      <c r="J491" s="42"/>
    </row>
    <row r="492">
      <c r="D492" s="42"/>
      <c r="E492" s="42"/>
      <c r="J492" s="42"/>
    </row>
    <row r="493">
      <c r="D493" s="42"/>
      <c r="E493" s="42"/>
      <c r="J493" s="42"/>
    </row>
    <row r="494">
      <c r="D494" s="42"/>
      <c r="E494" s="42"/>
      <c r="J494" s="42"/>
    </row>
    <row r="495">
      <c r="D495" s="42"/>
      <c r="E495" s="42"/>
      <c r="J495" s="42"/>
    </row>
    <row r="496">
      <c r="D496" s="42"/>
      <c r="E496" s="42"/>
      <c r="J496" s="42"/>
    </row>
    <row r="497">
      <c r="D497" s="42"/>
      <c r="E497" s="42"/>
      <c r="J497" s="42"/>
    </row>
    <row r="498">
      <c r="D498" s="42"/>
      <c r="E498" s="42"/>
      <c r="J498" s="42"/>
    </row>
    <row r="499">
      <c r="D499" s="42"/>
      <c r="E499" s="42"/>
      <c r="J499" s="42"/>
    </row>
    <row r="500">
      <c r="D500" s="42"/>
      <c r="E500" s="42"/>
      <c r="J500" s="42"/>
    </row>
    <row r="501">
      <c r="D501" s="42"/>
      <c r="E501" s="42"/>
      <c r="J501" s="42"/>
    </row>
    <row r="502">
      <c r="D502" s="42"/>
      <c r="E502" s="42"/>
      <c r="J502" s="42"/>
    </row>
    <row r="503">
      <c r="D503" s="42"/>
      <c r="E503" s="42"/>
      <c r="J503" s="42"/>
    </row>
    <row r="504">
      <c r="D504" s="42"/>
      <c r="E504" s="42"/>
      <c r="J504" s="42"/>
    </row>
    <row r="505">
      <c r="D505" s="42"/>
      <c r="E505" s="42"/>
      <c r="J505" s="42"/>
    </row>
    <row r="506">
      <c r="D506" s="42"/>
      <c r="E506" s="42"/>
      <c r="J506" s="42"/>
    </row>
    <row r="507">
      <c r="D507" s="42"/>
      <c r="E507" s="42"/>
      <c r="J507" s="42"/>
    </row>
    <row r="508">
      <c r="D508" s="42"/>
      <c r="E508" s="42"/>
      <c r="J508" s="42"/>
    </row>
    <row r="509">
      <c r="D509" s="42"/>
      <c r="E509" s="42"/>
      <c r="J509" s="42"/>
    </row>
    <row r="510">
      <c r="D510" s="42"/>
      <c r="E510" s="42"/>
      <c r="J510" s="42"/>
    </row>
    <row r="511">
      <c r="D511" s="42"/>
      <c r="E511" s="42"/>
      <c r="J511" s="42"/>
    </row>
    <row r="512">
      <c r="D512" s="42"/>
      <c r="E512" s="42"/>
      <c r="J512" s="42"/>
    </row>
    <row r="513">
      <c r="D513" s="42"/>
      <c r="E513" s="42"/>
      <c r="J513" s="42"/>
    </row>
    <row r="514">
      <c r="D514" s="42"/>
      <c r="E514" s="42"/>
      <c r="J514" s="42"/>
    </row>
    <row r="515">
      <c r="D515" s="42"/>
      <c r="E515" s="42"/>
      <c r="J515" s="42"/>
    </row>
    <row r="516">
      <c r="D516" s="42"/>
      <c r="E516" s="42"/>
      <c r="J516" s="42"/>
    </row>
    <row r="517">
      <c r="D517" s="42"/>
      <c r="E517" s="42"/>
      <c r="J517" s="42"/>
    </row>
    <row r="518">
      <c r="D518" s="42"/>
      <c r="E518" s="42"/>
      <c r="J518" s="42"/>
    </row>
    <row r="519">
      <c r="D519" s="42"/>
      <c r="E519" s="42"/>
      <c r="J519" s="42"/>
    </row>
    <row r="520">
      <c r="D520" s="42"/>
      <c r="E520" s="42"/>
      <c r="J520" s="42"/>
    </row>
    <row r="521">
      <c r="D521" s="42"/>
      <c r="E521" s="42"/>
      <c r="J521" s="42"/>
    </row>
    <row r="522">
      <c r="D522" s="42"/>
      <c r="E522" s="42"/>
      <c r="J522" s="42"/>
    </row>
    <row r="523">
      <c r="D523" s="42"/>
      <c r="E523" s="42"/>
      <c r="J523" s="42"/>
    </row>
    <row r="524">
      <c r="D524" s="42"/>
      <c r="E524" s="42"/>
      <c r="J524" s="42"/>
    </row>
    <row r="525">
      <c r="D525" s="42"/>
      <c r="E525" s="42"/>
      <c r="J525" s="42"/>
    </row>
    <row r="526">
      <c r="D526" s="42"/>
      <c r="E526" s="42"/>
      <c r="J526" s="42"/>
    </row>
    <row r="527">
      <c r="D527" s="42"/>
      <c r="E527" s="42"/>
      <c r="J527" s="42"/>
    </row>
    <row r="528">
      <c r="D528" s="42"/>
      <c r="E528" s="42"/>
      <c r="J528" s="42"/>
    </row>
    <row r="529">
      <c r="D529" s="42"/>
      <c r="E529" s="42"/>
      <c r="J529" s="42"/>
    </row>
    <row r="530">
      <c r="D530" s="42"/>
      <c r="E530" s="42"/>
      <c r="J530" s="42"/>
    </row>
    <row r="531">
      <c r="D531" s="42"/>
      <c r="E531" s="42"/>
      <c r="J531" s="42"/>
    </row>
    <row r="532">
      <c r="D532" s="42"/>
      <c r="E532" s="42"/>
      <c r="J532" s="42"/>
    </row>
    <row r="533">
      <c r="D533" s="42"/>
      <c r="E533" s="42"/>
      <c r="J533" s="42"/>
    </row>
    <row r="534">
      <c r="D534" s="42"/>
      <c r="E534" s="42"/>
      <c r="J534" s="42"/>
    </row>
    <row r="535">
      <c r="D535" s="42"/>
      <c r="E535" s="42"/>
      <c r="J535" s="42"/>
    </row>
    <row r="536">
      <c r="D536" s="42"/>
      <c r="E536" s="42"/>
      <c r="J536" s="42"/>
    </row>
    <row r="537">
      <c r="D537" s="42"/>
      <c r="E537" s="42"/>
      <c r="J537" s="42"/>
    </row>
    <row r="538">
      <c r="D538" s="42"/>
      <c r="E538" s="42"/>
      <c r="J538" s="42"/>
    </row>
    <row r="539">
      <c r="D539" s="42"/>
      <c r="E539" s="42"/>
      <c r="J539" s="42"/>
    </row>
    <row r="540">
      <c r="D540" s="42"/>
      <c r="E540" s="42"/>
      <c r="J540" s="42"/>
    </row>
    <row r="541">
      <c r="D541" s="42"/>
      <c r="E541" s="42"/>
      <c r="J541" s="42"/>
    </row>
    <row r="542">
      <c r="D542" s="42"/>
      <c r="E542" s="42"/>
      <c r="J542" s="42"/>
    </row>
    <row r="543">
      <c r="D543" s="42"/>
      <c r="E543" s="42"/>
      <c r="J543" s="42"/>
    </row>
    <row r="544">
      <c r="D544" s="42"/>
      <c r="E544" s="42"/>
      <c r="J544" s="42"/>
    </row>
    <row r="545">
      <c r="D545" s="42"/>
      <c r="E545" s="42"/>
      <c r="J545" s="42"/>
    </row>
    <row r="546">
      <c r="D546" s="42"/>
      <c r="E546" s="42"/>
      <c r="J546" s="42"/>
    </row>
    <row r="547">
      <c r="D547" s="42"/>
      <c r="E547" s="42"/>
      <c r="J547" s="42"/>
    </row>
    <row r="548">
      <c r="D548" s="42"/>
      <c r="E548" s="42"/>
      <c r="J548" s="42"/>
    </row>
    <row r="549">
      <c r="D549" s="42"/>
      <c r="E549" s="42"/>
      <c r="J549" s="42"/>
    </row>
    <row r="550">
      <c r="D550" s="42"/>
      <c r="E550" s="42"/>
      <c r="J550" s="42"/>
    </row>
    <row r="551">
      <c r="D551" s="42"/>
      <c r="E551" s="42"/>
      <c r="J551" s="42"/>
    </row>
    <row r="552">
      <c r="D552" s="42"/>
      <c r="E552" s="42"/>
      <c r="J552" s="42"/>
    </row>
    <row r="553">
      <c r="D553" s="42"/>
      <c r="E553" s="42"/>
      <c r="J553" s="42"/>
    </row>
    <row r="554">
      <c r="D554" s="42"/>
      <c r="E554" s="42"/>
      <c r="J554" s="42"/>
    </row>
    <row r="555">
      <c r="D555" s="42"/>
      <c r="E555" s="42"/>
      <c r="J555" s="42"/>
    </row>
    <row r="556">
      <c r="D556" s="42"/>
      <c r="E556" s="42"/>
      <c r="J556" s="42"/>
    </row>
    <row r="557">
      <c r="D557" s="42"/>
      <c r="E557" s="42"/>
      <c r="J557" s="42"/>
    </row>
    <row r="558">
      <c r="D558" s="42"/>
      <c r="E558" s="42"/>
      <c r="J558" s="42"/>
    </row>
    <row r="559">
      <c r="D559" s="42"/>
      <c r="E559" s="42"/>
      <c r="J559" s="42"/>
    </row>
    <row r="560">
      <c r="D560" s="42"/>
      <c r="E560" s="42"/>
      <c r="J560" s="42"/>
    </row>
    <row r="561">
      <c r="D561" s="42"/>
      <c r="E561" s="42"/>
      <c r="J561" s="42"/>
    </row>
    <row r="562">
      <c r="D562" s="42"/>
      <c r="E562" s="42"/>
      <c r="J562" s="42"/>
    </row>
    <row r="563">
      <c r="D563" s="42"/>
      <c r="E563" s="42"/>
      <c r="J563" s="42"/>
    </row>
    <row r="564">
      <c r="D564" s="42"/>
      <c r="E564" s="42"/>
      <c r="J564" s="42"/>
    </row>
    <row r="565">
      <c r="D565" s="42"/>
      <c r="E565" s="42"/>
      <c r="J565" s="42"/>
    </row>
    <row r="566">
      <c r="D566" s="42"/>
      <c r="E566" s="42"/>
      <c r="J566" s="42"/>
    </row>
    <row r="567">
      <c r="D567" s="42"/>
      <c r="E567" s="42"/>
      <c r="J567" s="42"/>
    </row>
    <row r="568">
      <c r="D568" s="42"/>
      <c r="E568" s="42"/>
      <c r="J568" s="42"/>
    </row>
    <row r="569">
      <c r="D569" s="42"/>
      <c r="E569" s="42"/>
      <c r="J569" s="42"/>
    </row>
    <row r="570">
      <c r="D570" s="42"/>
      <c r="E570" s="42"/>
      <c r="J570" s="42"/>
    </row>
    <row r="571">
      <c r="D571" s="42"/>
      <c r="E571" s="42"/>
      <c r="J571" s="42"/>
    </row>
    <row r="572">
      <c r="D572" s="42"/>
      <c r="E572" s="42"/>
      <c r="J572" s="42"/>
    </row>
    <row r="573">
      <c r="D573" s="42"/>
      <c r="E573" s="42"/>
      <c r="J573" s="42"/>
    </row>
    <row r="574">
      <c r="D574" s="42"/>
      <c r="E574" s="42"/>
      <c r="J574" s="42"/>
    </row>
    <row r="575">
      <c r="D575" s="42"/>
      <c r="E575" s="42"/>
      <c r="J575" s="42"/>
    </row>
    <row r="576">
      <c r="D576" s="42"/>
      <c r="E576" s="42"/>
      <c r="J576" s="42"/>
    </row>
    <row r="577">
      <c r="D577" s="42"/>
      <c r="E577" s="42"/>
      <c r="J577" s="42"/>
    </row>
    <row r="578">
      <c r="D578" s="42"/>
      <c r="E578" s="42"/>
      <c r="J578" s="42"/>
    </row>
    <row r="579">
      <c r="D579" s="42"/>
      <c r="E579" s="42"/>
      <c r="J579" s="42"/>
    </row>
    <row r="580">
      <c r="D580" s="42"/>
      <c r="E580" s="42"/>
      <c r="J580" s="42"/>
    </row>
    <row r="581">
      <c r="D581" s="42"/>
      <c r="E581" s="42"/>
      <c r="J581" s="42"/>
    </row>
    <row r="582">
      <c r="D582" s="42"/>
      <c r="E582" s="42"/>
      <c r="J582" s="42"/>
    </row>
    <row r="583">
      <c r="D583" s="42"/>
      <c r="E583" s="42"/>
      <c r="J583" s="42"/>
    </row>
    <row r="584">
      <c r="D584" s="42"/>
      <c r="E584" s="42"/>
      <c r="J584" s="42"/>
    </row>
    <row r="585">
      <c r="D585" s="42"/>
      <c r="E585" s="42"/>
      <c r="J585" s="42"/>
    </row>
    <row r="586">
      <c r="D586" s="42"/>
      <c r="E586" s="42"/>
      <c r="J586" s="42"/>
    </row>
    <row r="587">
      <c r="D587" s="42"/>
      <c r="E587" s="42"/>
      <c r="J587" s="42"/>
    </row>
    <row r="588">
      <c r="D588" s="42"/>
      <c r="E588" s="42"/>
      <c r="J588" s="42"/>
    </row>
    <row r="589">
      <c r="D589" s="42"/>
      <c r="E589" s="42"/>
      <c r="J589" s="42"/>
    </row>
    <row r="590">
      <c r="D590" s="42"/>
      <c r="E590" s="42"/>
      <c r="J590" s="42"/>
    </row>
    <row r="591">
      <c r="D591" s="42"/>
      <c r="E591" s="42"/>
      <c r="J591" s="42"/>
    </row>
    <row r="592">
      <c r="D592" s="42"/>
      <c r="E592" s="42"/>
      <c r="J592" s="42"/>
    </row>
    <row r="593">
      <c r="D593" s="42"/>
      <c r="E593" s="42"/>
      <c r="J593" s="42"/>
    </row>
    <row r="594">
      <c r="D594" s="42"/>
      <c r="E594" s="42"/>
      <c r="J594" s="42"/>
    </row>
    <row r="595">
      <c r="D595" s="42"/>
      <c r="E595" s="42"/>
      <c r="J595" s="42"/>
    </row>
    <row r="596">
      <c r="D596" s="42"/>
      <c r="E596" s="42"/>
      <c r="J596" s="42"/>
    </row>
    <row r="597">
      <c r="D597" s="42"/>
      <c r="E597" s="42"/>
      <c r="J597" s="42"/>
    </row>
    <row r="598">
      <c r="D598" s="42"/>
      <c r="E598" s="42"/>
      <c r="J598" s="42"/>
    </row>
    <row r="599">
      <c r="D599" s="42"/>
      <c r="E599" s="42"/>
      <c r="J599" s="42"/>
    </row>
    <row r="600">
      <c r="D600" s="42"/>
      <c r="E600" s="42"/>
      <c r="J600" s="42"/>
    </row>
    <row r="601">
      <c r="D601" s="42"/>
      <c r="E601" s="42"/>
      <c r="J601" s="42"/>
    </row>
    <row r="602">
      <c r="D602" s="42"/>
      <c r="E602" s="42"/>
      <c r="J602" s="42"/>
    </row>
    <row r="603">
      <c r="D603" s="42"/>
      <c r="E603" s="42"/>
      <c r="J603" s="42"/>
    </row>
    <row r="604">
      <c r="D604" s="42"/>
      <c r="E604" s="42"/>
      <c r="J604" s="42"/>
    </row>
    <row r="605">
      <c r="D605" s="42"/>
      <c r="E605" s="42"/>
      <c r="J605" s="42"/>
    </row>
    <row r="606">
      <c r="D606" s="42"/>
      <c r="E606" s="42"/>
      <c r="J606" s="42"/>
    </row>
    <row r="607">
      <c r="D607" s="42"/>
      <c r="E607" s="42"/>
      <c r="J607" s="42"/>
    </row>
    <row r="608">
      <c r="D608" s="42"/>
      <c r="E608" s="42"/>
      <c r="J608" s="42"/>
    </row>
    <row r="609">
      <c r="D609" s="42"/>
      <c r="E609" s="42"/>
      <c r="J609" s="42"/>
    </row>
    <row r="610">
      <c r="D610" s="42"/>
      <c r="E610" s="42"/>
      <c r="J610" s="42"/>
    </row>
    <row r="611">
      <c r="D611" s="42"/>
      <c r="E611" s="42"/>
      <c r="J611" s="42"/>
    </row>
    <row r="612">
      <c r="D612" s="42"/>
      <c r="E612" s="42"/>
      <c r="J612" s="42"/>
    </row>
    <row r="613">
      <c r="D613" s="42"/>
      <c r="E613" s="42"/>
      <c r="J613" s="42"/>
    </row>
    <row r="614">
      <c r="D614" s="42"/>
      <c r="E614" s="42"/>
      <c r="J614" s="42"/>
    </row>
    <row r="615">
      <c r="D615" s="42"/>
      <c r="E615" s="42"/>
      <c r="J615" s="42"/>
    </row>
    <row r="616">
      <c r="D616" s="42"/>
      <c r="E616" s="42"/>
      <c r="J616" s="42"/>
    </row>
    <row r="617">
      <c r="D617" s="42"/>
      <c r="E617" s="42"/>
      <c r="J617" s="42"/>
    </row>
    <row r="618">
      <c r="D618" s="42"/>
      <c r="E618" s="42"/>
      <c r="J618" s="42"/>
    </row>
    <row r="619">
      <c r="D619" s="42"/>
      <c r="E619" s="42"/>
      <c r="J619" s="42"/>
    </row>
    <row r="620">
      <c r="D620" s="42"/>
      <c r="E620" s="42"/>
      <c r="J620" s="42"/>
    </row>
    <row r="621">
      <c r="D621" s="42"/>
      <c r="E621" s="42"/>
      <c r="J621" s="42"/>
    </row>
    <row r="622">
      <c r="D622" s="42"/>
      <c r="E622" s="42"/>
      <c r="J622" s="42"/>
    </row>
    <row r="623">
      <c r="D623" s="42"/>
      <c r="E623" s="42"/>
      <c r="J623" s="42"/>
    </row>
    <row r="624">
      <c r="D624" s="42"/>
      <c r="E624" s="42"/>
      <c r="J624" s="42"/>
    </row>
    <row r="625">
      <c r="D625" s="42"/>
      <c r="E625" s="42"/>
      <c r="J625" s="42"/>
    </row>
    <row r="626">
      <c r="D626" s="42"/>
      <c r="E626" s="42"/>
      <c r="J626" s="42"/>
    </row>
    <row r="627">
      <c r="D627" s="42"/>
      <c r="E627" s="42"/>
      <c r="J627" s="42"/>
    </row>
    <row r="628">
      <c r="D628" s="42"/>
      <c r="E628" s="42"/>
      <c r="J628" s="42"/>
    </row>
    <row r="629">
      <c r="D629" s="42"/>
      <c r="E629" s="42"/>
      <c r="J629" s="42"/>
    </row>
    <row r="630">
      <c r="D630" s="42"/>
      <c r="E630" s="42"/>
      <c r="J630" s="42"/>
    </row>
    <row r="631">
      <c r="D631" s="42"/>
      <c r="E631" s="42"/>
      <c r="J631" s="42"/>
    </row>
    <row r="632">
      <c r="D632" s="42"/>
      <c r="E632" s="42"/>
      <c r="J632" s="42"/>
    </row>
    <row r="633">
      <c r="D633" s="42"/>
      <c r="E633" s="42"/>
      <c r="J633" s="42"/>
    </row>
    <row r="634">
      <c r="D634" s="42"/>
      <c r="E634" s="42"/>
      <c r="J634" s="42"/>
    </row>
    <row r="635">
      <c r="D635" s="42"/>
      <c r="E635" s="42"/>
      <c r="J635" s="42"/>
    </row>
    <row r="636">
      <c r="D636" s="42"/>
      <c r="E636" s="42"/>
      <c r="J636" s="42"/>
    </row>
    <row r="637">
      <c r="D637" s="42"/>
      <c r="E637" s="42"/>
      <c r="J637" s="42"/>
    </row>
    <row r="638">
      <c r="D638" s="42"/>
      <c r="E638" s="42"/>
      <c r="J638" s="42"/>
    </row>
    <row r="639">
      <c r="D639" s="42"/>
      <c r="E639" s="42"/>
      <c r="J639" s="42"/>
    </row>
    <row r="640">
      <c r="D640" s="42"/>
      <c r="E640" s="42"/>
      <c r="J640" s="42"/>
    </row>
    <row r="641">
      <c r="D641" s="42"/>
      <c r="E641" s="42"/>
      <c r="J641" s="42"/>
    </row>
    <row r="642">
      <c r="D642" s="42"/>
      <c r="E642" s="42"/>
      <c r="J642" s="42"/>
    </row>
    <row r="643">
      <c r="D643" s="42"/>
      <c r="E643" s="42"/>
      <c r="J643" s="42"/>
    </row>
    <row r="644">
      <c r="D644" s="42"/>
      <c r="E644" s="42"/>
      <c r="J644" s="42"/>
    </row>
    <row r="645">
      <c r="D645" s="42"/>
      <c r="E645" s="42"/>
      <c r="J645" s="42"/>
    </row>
    <row r="646">
      <c r="D646" s="42"/>
      <c r="E646" s="42"/>
      <c r="J646" s="42"/>
    </row>
    <row r="647">
      <c r="D647" s="42"/>
      <c r="E647" s="42"/>
      <c r="J647" s="42"/>
    </row>
    <row r="648">
      <c r="D648" s="42"/>
      <c r="E648" s="42"/>
      <c r="J648" s="42"/>
    </row>
    <row r="649">
      <c r="D649" s="42"/>
      <c r="E649" s="42"/>
      <c r="J649" s="42"/>
    </row>
    <row r="650">
      <c r="D650" s="42"/>
      <c r="E650" s="42"/>
      <c r="J650" s="42"/>
    </row>
    <row r="651">
      <c r="D651" s="42"/>
      <c r="E651" s="42"/>
      <c r="J651" s="42"/>
    </row>
    <row r="652">
      <c r="D652" s="42"/>
      <c r="E652" s="42"/>
      <c r="J652" s="42"/>
    </row>
    <row r="653">
      <c r="D653" s="42"/>
      <c r="E653" s="42"/>
      <c r="J653" s="42"/>
    </row>
    <row r="654">
      <c r="D654" s="42"/>
      <c r="E654" s="42"/>
      <c r="J654" s="42"/>
    </row>
    <row r="655">
      <c r="D655" s="42"/>
      <c r="E655" s="42"/>
      <c r="J655" s="42"/>
    </row>
    <row r="656">
      <c r="D656" s="42"/>
      <c r="E656" s="42"/>
      <c r="J656" s="42"/>
    </row>
    <row r="657">
      <c r="D657" s="42"/>
      <c r="E657" s="42"/>
      <c r="J657" s="42"/>
    </row>
    <row r="658">
      <c r="D658" s="42"/>
      <c r="E658" s="42"/>
      <c r="J658" s="42"/>
    </row>
    <row r="659">
      <c r="D659" s="42"/>
      <c r="E659" s="42"/>
      <c r="J659" s="42"/>
    </row>
    <row r="660">
      <c r="D660" s="42"/>
      <c r="E660" s="42"/>
      <c r="J660" s="42"/>
    </row>
    <row r="661">
      <c r="D661" s="42"/>
      <c r="E661" s="42"/>
      <c r="J661" s="42"/>
    </row>
    <row r="662">
      <c r="D662" s="42"/>
      <c r="E662" s="42"/>
      <c r="J662" s="42"/>
    </row>
    <row r="663">
      <c r="D663" s="42"/>
      <c r="E663" s="42"/>
      <c r="J663" s="42"/>
    </row>
    <row r="664">
      <c r="D664" s="42"/>
      <c r="E664" s="42"/>
      <c r="J664" s="42"/>
    </row>
    <row r="665">
      <c r="D665" s="42"/>
      <c r="E665" s="42"/>
      <c r="J665" s="42"/>
    </row>
    <row r="666">
      <c r="D666" s="42"/>
      <c r="E666" s="42"/>
      <c r="J666" s="42"/>
    </row>
    <row r="667">
      <c r="D667" s="42"/>
      <c r="E667" s="42"/>
      <c r="J667" s="42"/>
    </row>
    <row r="668">
      <c r="D668" s="42"/>
      <c r="E668" s="42"/>
      <c r="J668" s="42"/>
    </row>
    <row r="669">
      <c r="D669" s="42"/>
      <c r="E669" s="42"/>
      <c r="J669" s="42"/>
    </row>
    <row r="670">
      <c r="D670" s="42"/>
      <c r="E670" s="42"/>
      <c r="J670" s="42"/>
    </row>
    <row r="671">
      <c r="D671" s="42"/>
      <c r="E671" s="42"/>
      <c r="J671" s="42"/>
    </row>
    <row r="672">
      <c r="D672" s="42"/>
      <c r="E672" s="42"/>
      <c r="J672" s="42"/>
    </row>
    <row r="673">
      <c r="D673" s="42"/>
      <c r="E673" s="42"/>
      <c r="J673" s="42"/>
    </row>
    <row r="674">
      <c r="D674" s="42"/>
      <c r="E674" s="42"/>
      <c r="J674" s="42"/>
    </row>
    <row r="675">
      <c r="D675" s="42"/>
      <c r="E675" s="42"/>
      <c r="J675" s="42"/>
    </row>
    <row r="676">
      <c r="D676" s="42"/>
      <c r="E676" s="42"/>
      <c r="J676" s="42"/>
    </row>
    <row r="677">
      <c r="D677" s="42"/>
      <c r="E677" s="42"/>
      <c r="J677" s="42"/>
    </row>
    <row r="678">
      <c r="D678" s="42"/>
      <c r="E678" s="42"/>
      <c r="J678" s="42"/>
    </row>
    <row r="679">
      <c r="D679" s="42"/>
      <c r="E679" s="42"/>
      <c r="J679" s="42"/>
    </row>
    <row r="680">
      <c r="D680" s="42"/>
      <c r="E680" s="42"/>
      <c r="J680" s="42"/>
    </row>
    <row r="681">
      <c r="D681" s="42"/>
      <c r="E681" s="42"/>
      <c r="J681" s="42"/>
    </row>
    <row r="682">
      <c r="D682" s="42"/>
      <c r="E682" s="42"/>
      <c r="J682" s="42"/>
    </row>
    <row r="683">
      <c r="D683" s="42"/>
      <c r="E683" s="42"/>
      <c r="J683" s="42"/>
    </row>
    <row r="684">
      <c r="D684" s="42"/>
      <c r="E684" s="42"/>
      <c r="J684" s="42"/>
    </row>
    <row r="685">
      <c r="D685" s="42"/>
      <c r="E685" s="42"/>
      <c r="J685" s="42"/>
    </row>
    <row r="686">
      <c r="D686" s="42"/>
      <c r="E686" s="42"/>
      <c r="J686" s="42"/>
    </row>
    <row r="687">
      <c r="D687" s="42"/>
      <c r="E687" s="42"/>
      <c r="J687" s="42"/>
    </row>
    <row r="688">
      <c r="D688" s="42"/>
      <c r="E688" s="42"/>
      <c r="J688" s="42"/>
    </row>
    <row r="689">
      <c r="D689" s="42"/>
      <c r="E689" s="42"/>
      <c r="J689" s="42"/>
    </row>
    <row r="690">
      <c r="D690" s="42"/>
      <c r="E690" s="42"/>
      <c r="J690" s="42"/>
    </row>
    <row r="691">
      <c r="D691" s="42"/>
      <c r="E691" s="42"/>
      <c r="J691" s="42"/>
    </row>
    <row r="692">
      <c r="D692" s="42"/>
      <c r="E692" s="42"/>
      <c r="J692" s="42"/>
    </row>
    <row r="693">
      <c r="D693" s="42"/>
      <c r="E693" s="42"/>
      <c r="J693" s="42"/>
    </row>
    <row r="694">
      <c r="D694" s="42"/>
      <c r="E694" s="42"/>
      <c r="J694" s="42"/>
    </row>
    <row r="695">
      <c r="D695" s="42"/>
      <c r="E695" s="42"/>
      <c r="J695" s="42"/>
    </row>
    <row r="696">
      <c r="D696" s="42"/>
      <c r="E696" s="42"/>
      <c r="J696" s="42"/>
    </row>
    <row r="697">
      <c r="D697" s="42"/>
      <c r="E697" s="42"/>
      <c r="J697" s="42"/>
    </row>
    <row r="698">
      <c r="D698" s="42"/>
      <c r="E698" s="42"/>
      <c r="J698" s="42"/>
    </row>
    <row r="699">
      <c r="D699" s="42"/>
      <c r="E699" s="42"/>
      <c r="J699" s="42"/>
    </row>
    <row r="700">
      <c r="D700" s="42"/>
      <c r="E700" s="42"/>
      <c r="J700" s="42"/>
    </row>
    <row r="701">
      <c r="D701" s="42"/>
      <c r="E701" s="42"/>
      <c r="J701" s="42"/>
    </row>
    <row r="702">
      <c r="D702" s="42"/>
      <c r="E702" s="42"/>
      <c r="J702" s="42"/>
    </row>
    <row r="703">
      <c r="D703" s="42"/>
      <c r="E703" s="42"/>
      <c r="J703" s="42"/>
    </row>
    <row r="704">
      <c r="D704" s="42"/>
      <c r="E704" s="42"/>
      <c r="J704" s="42"/>
    </row>
    <row r="705">
      <c r="D705" s="42"/>
      <c r="E705" s="42"/>
      <c r="J705" s="42"/>
    </row>
    <row r="706">
      <c r="D706" s="42"/>
      <c r="E706" s="42"/>
      <c r="J706" s="42"/>
    </row>
    <row r="707">
      <c r="D707" s="42"/>
      <c r="E707" s="42"/>
      <c r="J707" s="42"/>
    </row>
    <row r="708">
      <c r="D708" s="42"/>
      <c r="E708" s="42"/>
      <c r="J708" s="42"/>
    </row>
    <row r="709">
      <c r="D709" s="42"/>
      <c r="E709" s="42"/>
      <c r="J709" s="42"/>
    </row>
    <row r="710">
      <c r="D710" s="42"/>
      <c r="E710" s="42"/>
      <c r="J710" s="42"/>
    </row>
    <row r="711">
      <c r="D711" s="42"/>
      <c r="E711" s="42"/>
      <c r="J711" s="42"/>
    </row>
    <row r="712">
      <c r="D712" s="42"/>
      <c r="E712" s="42"/>
      <c r="J712" s="42"/>
    </row>
    <row r="713">
      <c r="D713" s="42"/>
      <c r="E713" s="42"/>
      <c r="J713" s="42"/>
    </row>
    <row r="714">
      <c r="D714" s="42"/>
      <c r="E714" s="42"/>
      <c r="J714" s="42"/>
    </row>
    <row r="715">
      <c r="D715" s="42"/>
      <c r="E715" s="42"/>
      <c r="J715" s="42"/>
    </row>
    <row r="716">
      <c r="D716" s="42"/>
      <c r="E716" s="42"/>
      <c r="J716" s="42"/>
    </row>
    <row r="717">
      <c r="D717" s="42"/>
      <c r="E717" s="42"/>
      <c r="J717" s="42"/>
    </row>
    <row r="718">
      <c r="D718" s="42"/>
      <c r="E718" s="42"/>
      <c r="J718" s="42"/>
    </row>
    <row r="719">
      <c r="D719" s="42"/>
      <c r="E719" s="42"/>
      <c r="J719" s="42"/>
    </row>
    <row r="720">
      <c r="D720" s="42"/>
      <c r="E720" s="42"/>
      <c r="J720" s="42"/>
    </row>
    <row r="721">
      <c r="D721" s="42"/>
      <c r="E721" s="42"/>
      <c r="J721" s="42"/>
    </row>
    <row r="722">
      <c r="D722" s="42"/>
      <c r="E722" s="42"/>
      <c r="J722" s="42"/>
    </row>
    <row r="723">
      <c r="D723" s="42"/>
      <c r="E723" s="42"/>
      <c r="J723" s="42"/>
    </row>
    <row r="724">
      <c r="D724" s="42"/>
      <c r="E724" s="42"/>
      <c r="J724" s="42"/>
    </row>
    <row r="725">
      <c r="D725" s="42"/>
      <c r="E725" s="42"/>
      <c r="J725" s="42"/>
    </row>
    <row r="726">
      <c r="D726" s="42"/>
      <c r="E726" s="42"/>
      <c r="J726" s="42"/>
    </row>
    <row r="727">
      <c r="D727" s="42"/>
      <c r="E727" s="42"/>
      <c r="J727" s="42"/>
    </row>
    <row r="728">
      <c r="D728" s="42"/>
      <c r="E728" s="42"/>
      <c r="J728" s="42"/>
    </row>
    <row r="729">
      <c r="D729" s="42"/>
      <c r="E729" s="42"/>
      <c r="J729" s="42"/>
    </row>
    <row r="730">
      <c r="D730" s="42"/>
      <c r="E730" s="42"/>
      <c r="J730" s="42"/>
    </row>
    <row r="731">
      <c r="D731" s="42"/>
      <c r="E731" s="42"/>
      <c r="J731" s="42"/>
    </row>
    <row r="732">
      <c r="D732" s="42"/>
      <c r="E732" s="42"/>
      <c r="J732" s="42"/>
    </row>
    <row r="733">
      <c r="D733" s="42"/>
      <c r="E733" s="42"/>
      <c r="J733" s="42"/>
    </row>
    <row r="734">
      <c r="D734" s="42"/>
      <c r="E734" s="42"/>
      <c r="J734" s="42"/>
    </row>
    <row r="735">
      <c r="D735" s="42"/>
      <c r="E735" s="42"/>
      <c r="J735" s="42"/>
    </row>
    <row r="736">
      <c r="D736" s="42"/>
      <c r="E736" s="42"/>
      <c r="J736" s="42"/>
    </row>
    <row r="737">
      <c r="D737" s="42"/>
      <c r="E737" s="42"/>
      <c r="J737" s="42"/>
    </row>
    <row r="738">
      <c r="D738" s="42"/>
      <c r="E738" s="42"/>
      <c r="J738" s="42"/>
    </row>
    <row r="739">
      <c r="D739" s="42"/>
      <c r="E739" s="42"/>
      <c r="J739" s="42"/>
    </row>
    <row r="740">
      <c r="D740" s="42"/>
      <c r="E740" s="42"/>
      <c r="J740" s="42"/>
    </row>
    <row r="741">
      <c r="D741" s="42"/>
      <c r="E741" s="42"/>
      <c r="J741" s="42"/>
    </row>
    <row r="742">
      <c r="D742" s="42"/>
      <c r="E742" s="42"/>
      <c r="J742" s="42"/>
    </row>
    <row r="743">
      <c r="D743" s="42"/>
      <c r="E743" s="42"/>
      <c r="J743" s="42"/>
    </row>
    <row r="744">
      <c r="D744" s="42"/>
      <c r="E744" s="42"/>
      <c r="J744" s="42"/>
    </row>
    <row r="745">
      <c r="D745" s="42"/>
      <c r="E745" s="42"/>
      <c r="J745" s="42"/>
    </row>
    <row r="746">
      <c r="D746" s="42"/>
      <c r="E746" s="42"/>
      <c r="J746" s="42"/>
    </row>
    <row r="747">
      <c r="D747" s="42"/>
      <c r="E747" s="42"/>
      <c r="J747" s="42"/>
    </row>
    <row r="748">
      <c r="D748" s="42"/>
      <c r="E748" s="42"/>
      <c r="J748" s="42"/>
    </row>
    <row r="749">
      <c r="D749" s="42"/>
      <c r="E749" s="42"/>
      <c r="J749" s="42"/>
    </row>
    <row r="750">
      <c r="D750" s="42"/>
      <c r="E750" s="42"/>
      <c r="J750" s="42"/>
    </row>
    <row r="751">
      <c r="D751" s="42"/>
      <c r="E751" s="42"/>
      <c r="J751" s="42"/>
    </row>
    <row r="752">
      <c r="D752" s="42"/>
      <c r="E752" s="42"/>
      <c r="J752" s="42"/>
    </row>
    <row r="753">
      <c r="D753" s="42"/>
      <c r="E753" s="42"/>
      <c r="J753" s="42"/>
    </row>
    <row r="754">
      <c r="D754" s="42"/>
      <c r="E754" s="42"/>
      <c r="J754" s="42"/>
    </row>
    <row r="755">
      <c r="D755" s="42"/>
      <c r="E755" s="42"/>
      <c r="J755" s="42"/>
    </row>
    <row r="756">
      <c r="D756" s="42"/>
      <c r="E756" s="42"/>
      <c r="J756" s="42"/>
    </row>
    <row r="757">
      <c r="D757" s="42"/>
      <c r="E757" s="42"/>
      <c r="J757" s="42"/>
    </row>
    <row r="758">
      <c r="D758" s="42"/>
      <c r="E758" s="42"/>
      <c r="J758" s="42"/>
    </row>
    <row r="759">
      <c r="D759" s="42"/>
      <c r="E759" s="42"/>
      <c r="J759" s="42"/>
    </row>
    <row r="760">
      <c r="D760" s="42"/>
      <c r="E760" s="42"/>
      <c r="J760" s="42"/>
    </row>
    <row r="761">
      <c r="D761" s="42"/>
      <c r="E761" s="42"/>
      <c r="J761" s="42"/>
    </row>
    <row r="762">
      <c r="D762" s="42"/>
      <c r="E762" s="42"/>
      <c r="J762" s="42"/>
    </row>
    <row r="763">
      <c r="D763" s="42"/>
      <c r="E763" s="42"/>
      <c r="J763" s="42"/>
    </row>
    <row r="764">
      <c r="D764" s="42"/>
      <c r="E764" s="42"/>
      <c r="J764" s="42"/>
    </row>
    <row r="765">
      <c r="D765" s="42"/>
      <c r="E765" s="42"/>
      <c r="J765" s="42"/>
    </row>
    <row r="766">
      <c r="D766" s="42"/>
      <c r="E766" s="42"/>
      <c r="J766" s="42"/>
    </row>
    <row r="767">
      <c r="D767" s="42"/>
      <c r="E767" s="42"/>
      <c r="J767" s="42"/>
    </row>
    <row r="768">
      <c r="D768" s="42"/>
      <c r="E768" s="42"/>
      <c r="J768" s="42"/>
    </row>
    <row r="769">
      <c r="D769" s="42"/>
      <c r="E769" s="42"/>
      <c r="J769" s="42"/>
    </row>
    <row r="770">
      <c r="D770" s="42"/>
      <c r="E770" s="42"/>
      <c r="J770" s="42"/>
    </row>
    <row r="771">
      <c r="D771" s="42"/>
      <c r="E771" s="42"/>
      <c r="J771" s="42"/>
    </row>
    <row r="772">
      <c r="D772" s="42"/>
      <c r="E772" s="42"/>
      <c r="J772" s="42"/>
    </row>
    <row r="773">
      <c r="D773" s="42"/>
      <c r="E773" s="42"/>
      <c r="J773" s="42"/>
    </row>
    <row r="774">
      <c r="D774" s="42"/>
      <c r="E774" s="42"/>
      <c r="J774" s="42"/>
    </row>
    <row r="775">
      <c r="D775" s="42"/>
      <c r="E775" s="42"/>
      <c r="J775" s="42"/>
    </row>
    <row r="776">
      <c r="D776" s="42"/>
      <c r="E776" s="42"/>
      <c r="J776" s="42"/>
    </row>
    <row r="777">
      <c r="D777" s="42"/>
      <c r="E777" s="42"/>
      <c r="J777" s="42"/>
    </row>
    <row r="778">
      <c r="D778" s="42"/>
      <c r="E778" s="42"/>
      <c r="J778" s="42"/>
    </row>
    <row r="779">
      <c r="D779" s="42"/>
      <c r="E779" s="42"/>
      <c r="J779" s="42"/>
    </row>
    <row r="780">
      <c r="D780" s="42"/>
      <c r="E780" s="42"/>
      <c r="J780" s="42"/>
    </row>
    <row r="781">
      <c r="D781" s="42"/>
      <c r="E781" s="42"/>
      <c r="J781" s="42"/>
    </row>
    <row r="782">
      <c r="D782" s="42"/>
      <c r="E782" s="42"/>
      <c r="J782" s="42"/>
    </row>
    <row r="783">
      <c r="D783" s="42"/>
      <c r="E783" s="42"/>
      <c r="J783" s="42"/>
    </row>
    <row r="784">
      <c r="D784" s="42"/>
      <c r="E784" s="42"/>
      <c r="J784" s="42"/>
    </row>
    <row r="785">
      <c r="D785" s="42"/>
      <c r="E785" s="42"/>
      <c r="J785" s="42"/>
    </row>
    <row r="786">
      <c r="D786" s="42"/>
      <c r="E786" s="42"/>
      <c r="J786" s="42"/>
    </row>
    <row r="787">
      <c r="D787" s="42"/>
      <c r="E787" s="42"/>
      <c r="J787" s="42"/>
    </row>
    <row r="788">
      <c r="D788" s="42"/>
      <c r="E788" s="42"/>
      <c r="J788" s="42"/>
    </row>
    <row r="789">
      <c r="D789" s="42"/>
      <c r="E789" s="42"/>
      <c r="J789" s="42"/>
    </row>
    <row r="790">
      <c r="D790" s="42"/>
      <c r="E790" s="42"/>
      <c r="J790" s="42"/>
    </row>
    <row r="791">
      <c r="D791" s="42"/>
      <c r="E791" s="42"/>
      <c r="J791" s="42"/>
    </row>
    <row r="792">
      <c r="D792" s="42"/>
      <c r="E792" s="42"/>
      <c r="J792" s="42"/>
    </row>
    <row r="793">
      <c r="D793" s="42"/>
      <c r="E793" s="42"/>
      <c r="J793" s="42"/>
    </row>
    <row r="794">
      <c r="D794" s="42"/>
      <c r="E794" s="42"/>
      <c r="J794" s="42"/>
    </row>
    <row r="795">
      <c r="D795" s="42"/>
      <c r="E795" s="42"/>
      <c r="J795" s="42"/>
    </row>
    <row r="796">
      <c r="D796" s="42"/>
      <c r="E796" s="42"/>
      <c r="J796" s="42"/>
    </row>
    <row r="797">
      <c r="D797" s="42"/>
      <c r="E797" s="42"/>
      <c r="J797" s="42"/>
    </row>
    <row r="798">
      <c r="D798" s="42"/>
      <c r="E798" s="42"/>
      <c r="J798" s="42"/>
    </row>
    <row r="799">
      <c r="D799" s="42"/>
      <c r="E799" s="42"/>
      <c r="J799" s="42"/>
    </row>
    <row r="800">
      <c r="D800" s="42"/>
      <c r="E800" s="42"/>
      <c r="J800" s="42"/>
    </row>
    <row r="801">
      <c r="D801" s="42"/>
      <c r="E801" s="42"/>
      <c r="J801" s="42"/>
    </row>
    <row r="802">
      <c r="D802" s="42"/>
      <c r="E802" s="42"/>
      <c r="J802" s="42"/>
    </row>
    <row r="803">
      <c r="D803" s="42"/>
      <c r="E803" s="42"/>
      <c r="J803" s="42"/>
    </row>
    <row r="804">
      <c r="D804" s="42"/>
      <c r="E804" s="42"/>
      <c r="J804" s="42"/>
    </row>
    <row r="805">
      <c r="D805" s="42"/>
      <c r="E805" s="42"/>
      <c r="J805" s="42"/>
    </row>
    <row r="806">
      <c r="D806" s="42"/>
      <c r="E806" s="42"/>
      <c r="J806" s="42"/>
    </row>
    <row r="807">
      <c r="D807" s="42"/>
      <c r="E807" s="42"/>
      <c r="J807" s="42"/>
    </row>
    <row r="808">
      <c r="D808" s="42"/>
      <c r="E808" s="42"/>
      <c r="J808" s="42"/>
    </row>
    <row r="809">
      <c r="D809" s="42"/>
      <c r="E809" s="42"/>
      <c r="J809" s="42"/>
    </row>
    <row r="810">
      <c r="D810" s="42"/>
      <c r="E810" s="42"/>
      <c r="J810" s="42"/>
    </row>
    <row r="811">
      <c r="D811" s="42"/>
      <c r="E811" s="42"/>
      <c r="J811" s="42"/>
    </row>
    <row r="812">
      <c r="D812" s="42"/>
      <c r="E812" s="42"/>
      <c r="J812" s="42"/>
    </row>
    <row r="813">
      <c r="D813" s="42"/>
      <c r="E813" s="42"/>
      <c r="J813" s="42"/>
    </row>
    <row r="814">
      <c r="D814" s="42"/>
      <c r="E814" s="42"/>
      <c r="J814" s="42"/>
    </row>
    <row r="815">
      <c r="D815" s="42"/>
      <c r="E815" s="42"/>
      <c r="J815" s="42"/>
    </row>
    <row r="816">
      <c r="D816" s="42"/>
      <c r="E816" s="42"/>
      <c r="J816" s="42"/>
    </row>
    <row r="817">
      <c r="D817" s="42"/>
      <c r="E817" s="42"/>
      <c r="J817" s="42"/>
    </row>
    <row r="818">
      <c r="D818" s="42"/>
      <c r="E818" s="42"/>
      <c r="J818" s="42"/>
    </row>
    <row r="819">
      <c r="D819" s="42"/>
      <c r="E819" s="42"/>
      <c r="J819" s="42"/>
    </row>
    <row r="820">
      <c r="D820" s="42"/>
      <c r="E820" s="42"/>
      <c r="J820" s="42"/>
    </row>
    <row r="821">
      <c r="D821" s="42"/>
      <c r="E821" s="42"/>
      <c r="J821" s="42"/>
    </row>
    <row r="822">
      <c r="D822" s="42"/>
      <c r="E822" s="42"/>
      <c r="J822" s="42"/>
    </row>
    <row r="823">
      <c r="D823" s="42"/>
      <c r="E823" s="42"/>
      <c r="J823" s="42"/>
    </row>
    <row r="824">
      <c r="D824" s="42"/>
      <c r="E824" s="42"/>
      <c r="J824" s="42"/>
    </row>
    <row r="825">
      <c r="D825" s="42"/>
      <c r="E825" s="42"/>
      <c r="J825" s="42"/>
    </row>
    <row r="826">
      <c r="D826" s="42"/>
      <c r="E826" s="42"/>
      <c r="J826" s="42"/>
    </row>
    <row r="827">
      <c r="D827" s="42"/>
      <c r="E827" s="42"/>
      <c r="J827" s="42"/>
    </row>
    <row r="828">
      <c r="D828" s="42"/>
      <c r="E828" s="42"/>
      <c r="J828" s="42"/>
    </row>
    <row r="829">
      <c r="D829" s="42"/>
      <c r="E829" s="42"/>
      <c r="J829" s="42"/>
    </row>
    <row r="830">
      <c r="D830" s="42"/>
      <c r="E830" s="42"/>
      <c r="J830" s="42"/>
    </row>
    <row r="831">
      <c r="D831" s="42"/>
      <c r="E831" s="42"/>
      <c r="J831" s="42"/>
    </row>
    <row r="832">
      <c r="D832" s="42"/>
      <c r="E832" s="42"/>
      <c r="J832" s="42"/>
    </row>
    <row r="833">
      <c r="D833" s="42"/>
      <c r="E833" s="42"/>
      <c r="J833" s="42"/>
    </row>
    <row r="834">
      <c r="D834" s="42"/>
      <c r="E834" s="42"/>
      <c r="J834" s="42"/>
    </row>
    <row r="835">
      <c r="D835" s="42"/>
      <c r="E835" s="42"/>
      <c r="J835" s="42"/>
    </row>
    <row r="836">
      <c r="D836" s="42"/>
      <c r="E836" s="42"/>
      <c r="J836" s="42"/>
    </row>
    <row r="837">
      <c r="D837" s="42"/>
      <c r="E837" s="42"/>
      <c r="J837" s="42"/>
    </row>
    <row r="838">
      <c r="D838" s="42"/>
      <c r="E838" s="42"/>
      <c r="J838" s="42"/>
    </row>
    <row r="839">
      <c r="D839" s="42"/>
      <c r="E839" s="42"/>
      <c r="J839" s="42"/>
    </row>
    <row r="840">
      <c r="D840" s="42"/>
      <c r="E840" s="42"/>
      <c r="J840" s="42"/>
    </row>
    <row r="841">
      <c r="D841" s="42"/>
      <c r="E841" s="42"/>
      <c r="J841" s="42"/>
    </row>
    <row r="842">
      <c r="D842" s="42"/>
      <c r="E842" s="42"/>
      <c r="J842" s="42"/>
    </row>
    <row r="843">
      <c r="D843" s="42"/>
      <c r="E843" s="42"/>
      <c r="J843" s="42"/>
    </row>
    <row r="844">
      <c r="D844" s="42"/>
      <c r="E844" s="42"/>
      <c r="J844" s="42"/>
    </row>
    <row r="845">
      <c r="D845" s="42"/>
      <c r="E845" s="42"/>
      <c r="J845" s="42"/>
    </row>
    <row r="846">
      <c r="D846" s="42"/>
      <c r="E846" s="42"/>
      <c r="J846" s="42"/>
    </row>
    <row r="847">
      <c r="D847" s="42"/>
      <c r="E847" s="42"/>
      <c r="J847" s="42"/>
    </row>
    <row r="848">
      <c r="D848" s="42"/>
      <c r="E848" s="42"/>
      <c r="J848" s="42"/>
    </row>
    <row r="849">
      <c r="D849" s="42"/>
      <c r="E849" s="42"/>
      <c r="J849" s="42"/>
    </row>
    <row r="850">
      <c r="D850" s="42"/>
      <c r="E850" s="42"/>
      <c r="J850" s="42"/>
    </row>
    <row r="851">
      <c r="D851" s="42"/>
      <c r="E851" s="42"/>
      <c r="J851" s="42"/>
    </row>
    <row r="852">
      <c r="D852" s="42"/>
      <c r="E852" s="42"/>
      <c r="J852" s="42"/>
    </row>
    <row r="853">
      <c r="D853" s="42"/>
      <c r="E853" s="42"/>
      <c r="J853" s="42"/>
    </row>
    <row r="854">
      <c r="D854" s="42"/>
      <c r="E854" s="42"/>
      <c r="J854" s="42"/>
    </row>
    <row r="855">
      <c r="D855" s="42"/>
      <c r="E855" s="42"/>
      <c r="J855" s="42"/>
    </row>
    <row r="856">
      <c r="D856" s="42"/>
      <c r="E856" s="42"/>
      <c r="J856" s="42"/>
    </row>
    <row r="857">
      <c r="D857" s="42"/>
      <c r="E857" s="42"/>
      <c r="J857" s="42"/>
    </row>
    <row r="858">
      <c r="D858" s="42"/>
      <c r="E858" s="42"/>
      <c r="J858" s="42"/>
    </row>
    <row r="859">
      <c r="D859" s="42"/>
      <c r="E859" s="42"/>
      <c r="J859" s="42"/>
    </row>
    <row r="860">
      <c r="D860" s="42"/>
      <c r="E860" s="42"/>
      <c r="J860" s="42"/>
    </row>
    <row r="861">
      <c r="D861" s="42"/>
      <c r="E861" s="42"/>
      <c r="J861" s="42"/>
    </row>
    <row r="862">
      <c r="D862" s="42"/>
      <c r="E862" s="42"/>
      <c r="J862" s="42"/>
    </row>
    <row r="863">
      <c r="D863" s="42"/>
      <c r="E863" s="42"/>
      <c r="J863" s="42"/>
    </row>
    <row r="864">
      <c r="D864" s="42"/>
      <c r="E864" s="42"/>
      <c r="J864" s="42"/>
    </row>
    <row r="865">
      <c r="D865" s="42"/>
      <c r="E865" s="42"/>
      <c r="J865" s="42"/>
    </row>
    <row r="866">
      <c r="D866" s="42"/>
      <c r="E866" s="42"/>
      <c r="J866" s="42"/>
    </row>
    <row r="867">
      <c r="D867" s="42"/>
      <c r="E867" s="42"/>
      <c r="J867" s="42"/>
    </row>
    <row r="868">
      <c r="D868" s="42"/>
      <c r="E868" s="42"/>
      <c r="J868" s="42"/>
    </row>
    <row r="869">
      <c r="D869" s="42"/>
      <c r="E869" s="42"/>
      <c r="J869" s="42"/>
    </row>
    <row r="870">
      <c r="D870" s="42"/>
      <c r="E870" s="42"/>
      <c r="J870" s="42"/>
    </row>
    <row r="871">
      <c r="D871" s="42"/>
      <c r="E871" s="42"/>
      <c r="J871" s="42"/>
    </row>
    <row r="872">
      <c r="D872" s="42"/>
      <c r="E872" s="42"/>
      <c r="J872" s="42"/>
    </row>
    <row r="873">
      <c r="D873" s="42"/>
      <c r="E873" s="42"/>
      <c r="J873" s="42"/>
    </row>
    <row r="874">
      <c r="D874" s="42"/>
      <c r="E874" s="42"/>
      <c r="J874" s="42"/>
    </row>
    <row r="875">
      <c r="D875" s="42"/>
      <c r="E875" s="42"/>
      <c r="J875" s="42"/>
    </row>
    <row r="876">
      <c r="D876" s="42"/>
      <c r="E876" s="42"/>
      <c r="J876" s="42"/>
    </row>
    <row r="877">
      <c r="D877" s="42"/>
      <c r="E877" s="42"/>
      <c r="J877" s="42"/>
    </row>
    <row r="878">
      <c r="D878" s="42"/>
      <c r="E878" s="42"/>
      <c r="J878" s="42"/>
    </row>
    <row r="879">
      <c r="D879" s="42"/>
      <c r="E879" s="42"/>
      <c r="J879" s="42"/>
    </row>
    <row r="880">
      <c r="D880" s="42"/>
      <c r="E880" s="42"/>
      <c r="J880" s="42"/>
    </row>
    <row r="881">
      <c r="D881" s="42"/>
      <c r="E881" s="42"/>
      <c r="J881" s="42"/>
    </row>
    <row r="882">
      <c r="D882" s="42"/>
      <c r="E882" s="42"/>
      <c r="J882" s="42"/>
    </row>
    <row r="883">
      <c r="D883" s="42"/>
      <c r="E883" s="42"/>
      <c r="J883" s="42"/>
    </row>
    <row r="884">
      <c r="D884" s="42"/>
      <c r="E884" s="42"/>
      <c r="J884" s="42"/>
    </row>
    <row r="885">
      <c r="D885" s="42"/>
      <c r="E885" s="42"/>
      <c r="J885" s="42"/>
    </row>
    <row r="886">
      <c r="D886" s="42"/>
      <c r="E886" s="42"/>
      <c r="J886" s="42"/>
    </row>
    <row r="887">
      <c r="D887" s="42"/>
      <c r="E887" s="42"/>
      <c r="J887" s="42"/>
    </row>
    <row r="888">
      <c r="D888" s="42"/>
      <c r="E888" s="42"/>
      <c r="J888" s="42"/>
    </row>
    <row r="889">
      <c r="D889" s="42"/>
      <c r="E889" s="42"/>
      <c r="J889" s="42"/>
    </row>
    <row r="890">
      <c r="D890" s="42"/>
      <c r="E890" s="42"/>
      <c r="J890" s="42"/>
    </row>
    <row r="891">
      <c r="D891" s="42"/>
      <c r="E891" s="42"/>
      <c r="J891" s="42"/>
    </row>
    <row r="892">
      <c r="D892" s="42"/>
      <c r="E892" s="42"/>
      <c r="J892" s="42"/>
    </row>
    <row r="893">
      <c r="D893" s="42"/>
      <c r="E893" s="42"/>
      <c r="J893" s="42"/>
    </row>
    <row r="894">
      <c r="D894" s="42"/>
      <c r="E894" s="42"/>
      <c r="J894" s="42"/>
    </row>
    <row r="895">
      <c r="D895" s="42"/>
      <c r="E895" s="42"/>
      <c r="J895" s="42"/>
    </row>
    <row r="896">
      <c r="D896" s="42"/>
      <c r="E896" s="42"/>
      <c r="J896" s="42"/>
    </row>
    <row r="897">
      <c r="D897" s="42"/>
      <c r="E897" s="42"/>
      <c r="J897" s="42"/>
    </row>
    <row r="898">
      <c r="D898" s="42"/>
      <c r="E898" s="42"/>
      <c r="J898" s="42"/>
    </row>
    <row r="899">
      <c r="D899" s="42"/>
      <c r="E899" s="42"/>
      <c r="J899" s="42"/>
    </row>
    <row r="900">
      <c r="D900" s="42"/>
      <c r="E900" s="42"/>
      <c r="J900" s="42"/>
    </row>
    <row r="901">
      <c r="D901" s="42"/>
      <c r="E901" s="42"/>
      <c r="J901" s="42"/>
    </row>
    <row r="902">
      <c r="D902" s="42"/>
      <c r="E902" s="42"/>
      <c r="J902" s="42"/>
    </row>
    <row r="903">
      <c r="D903" s="42"/>
      <c r="E903" s="42"/>
      <c r="J903" s="42"/>
    </row>
    <row r="904">
      <c r="D904" s="42"/>
      <c r="E904" s="42"/>
      <c r="J904" s="42"/>
    </row>
    <row r="905">
      <c r="D905" s="42"/>
      <c r="E905" s="42"/>
      <c r="J905" s="42"/>
    </row>
    <row r="906">
      <c r="D906" s="42"/>
      <c r="E906" s="42"/>
      <c r="J906" s="42"/>
    </row>
    <row r="907">
      <c r="D907" s="42"/>
      <c r="E907" s="42"/>
      <c r="J907" s="42"/>
    </row>
    <row r="908">
      <c r="D908" s="42"/>
      <c r="E908" s="42"/>
      <c r="J908" s="42"/>
    </row>
    <row r="909">
      <c r="D909" s="42"/>
      <c r="E909" s="42"/>
      <c r="J909" s="42"/>
    </row>
    <row r="910">
      <c r="D910" s="42"/>
      <c r="E910" s="42"/>
      <c r="J910" s="42"/>
    </row>
    <row r="911">
      <c r="D911" s="42"/>
      <c r="E911" s="42"/>
      <c r="J911" s="42"/>
    </row>
    <row r="912">
      <c r="D912" s="42"/>
      <c r="E912" s="42"/>
      <c r="J912" s="42"/>
    </row>
    <row r="913">
      <c r="D913" s="42"/>
      <c r="E913" s="42"/>
      <c r="J913" s="42"/>
    </row>
    <row r="914">
      <c r="D914" s="42"/>
      <c r="E914" s="42"/>
      <c r="J914" s="42"/>
    </row>
    <row r="915">
      <c r="D915" s="42"/>
      <c r="E915" s="42"/>
      <c r="J915" s="42"/>
    </row>
    <row r="916">
      <c r="D916" s="42"/>
      <c r="E916" s="42"/>
      <c r="J916" s="42"/>
    </row>
    <row r="917">
      <c r="D917" s="42"/>
      <c r="E917" s="42"/>
      <c r="J917" s="42"/>
    </row>
    <row r="918">
      <c r="D918" s="42"/>
      <c r="E918" s="42"/>
      <c r="J918" s="42"/>
    </row>
    <row r="919">
      <c r="D919" s="42"/>
      <c r="E919" s="42"/>
      <c r="J919" s="42"/>
    </row>
    <row r="920">
      <c r="D920" s="42"/>
      <c r="E920" s="42"/>
      <c r="J920" s="42"/>
    </row>
    <row r="921">
      <c r="D921" s="42"/>
      <c r="E921" s="42"/>
      <c r="J921" s="42"/>
    </row>
    <row r="922">
      <c r="D922" s="42"/>
      <c r="E922" s="42"/>
      <c r="J922" s="42"/>
    </row>
    <row r="923">
      <c r="D923" s="42"/>
      <c r="E923" s="42"/>
      <c r="J923" s="42"/>
    </row>
    <row r="924">
      <c r="D924" s="42"/>
      <c r="E924" s="42"/>
      <c r="J924" s="42"/>
    </row>
    <row r="925">
      <c r="D925" s="42"/>
      <c r="E925" s="42"/>
      <c r="J925" s="42"/>
    </row>
    <row r="926">
      <c r="D926" s="42"/>
      <c r="E926" s="42"/>
      <c r="J926" s="42"/>
    </row>
    <row r="927">
      <c r="D927" s="42"/>
      <c r="E927" s="42"/>
      <c r="J927" s="42"/>
    </row>
    <row r="928">
      <c r="D928" s="42"/>
      <c r="E928" s="42"/>
      <c r="J928" s="42"/>
    </row>
    <row r="929">
      <c r="D929" s="42"/>
      <c r="E929" s="42"/>
      <c r="J929" s="42"/>
    </row>
    <row r="930">
      <c r="D930" s="42"/>
      <c r="E930" s="42"/>
      <c r="J930" s="42"/>
    </row>
    <row r="931">
      <c r="D931" s="42"/>
      <c r="E931" s="42"/>
      <c r="J931" s="42"/>
    </row>
    <row r="932">
      <c r="D932" s="42"/>
      <c r="E932" s="42"/>
      <c r="J932" s="42"/>
    </row>
    <row r="933">
      <c r="D933" s="42"/>
      <c r="E933" s="42"/>
      <c r="J933" s="42"/>
    </row>
    <row r="934">
      <c r="D934" s="42"/>
      <c r="E934" s="42"/>
      <c r="J934" s="42"/>
    </row>
    <row r="935">
      <c r="D935" s="42"/>
      <c r="E935" s="42"/>
      <c r="J935" s="42"/>
    </row>
    <row r="936">
      <c r="D936" s="42"/>
      <c r="E936" s="42"/>
      <c r="J936" s="42"/>
    </row>
    <row r="937">
      <c r="D937" s="42"/>
      <c r="E937" s="42"/>
      <c r="J937" s="42"/>
    </row>
    <row r="938">
      <c r="D938" s="42"/>
      <c r="E938" s="42"/>
      <c r="J938" s="42"/>
    </row>
    <row r="939">
      <c r="D939" s="42"/>
      <c r="E939" s="42"/>
      <c r="J939" s="42"/>
    </row>
    <row r="940">
      <c r="D940" s="42"/>
      <c r="E940" s="42"/>
      <c r="J940" s="42"/>
    </row>
    <row r="941">
      <c r="D941" s="42"/>
      <c r="E941" s="42"/>
      <c r="J941" s="42"/>
    </row>
    <row r="942">
      <c r="D942" s="42"/>
      <c r="E942" s="42"/>
      <c r="J942" s="42"/>
    </row>
    <row r="943">
      <c r="D943" s="42"/>
      <c r="E943" s="42"/>
      <c r="J943" s="42"/>
    </row>
    <row r="944">
      <c r="D944" s="42"/>
      <c r="E944" s="42"/>
      <c r="J944" s="42"/>
    </row>
    <row r="945">
      <c r="D945" s="42"/>
      <c r="E945" s="42"/>
      <c r="J945" s="42"/>
    </row>
    <row r="946">
      <c r="D946" s="42"/>
      <c r="E946" s="42"/>
      <c r="J946" s="42"/>
    </row>
    <row r="947">
      <c r="D947" s="42"/>
      <c r="E947" s="42"/>
      <c r="J947" s="42"/>
    </row>
    <row r="948">
      <c r="D948" s="42"/>
      <c r="E948" s="42"/>
      <c r="J948" s="42"/>
    </row>
    <row r="949">
      <c r="D949" s="42"/>
      <c r="E949" s="42"/>
      <c r="J949" s="42"/>
    </row>
    <row r="950">
      <c r="D950" s="42"/>
      <c r="E950" s="42"/>
      <c r="J950" s="42"/>
    </row>
    <row r="951">
      <c r="D951" s="42"/>
      <c r="E951" s="42"/>
      <c r="J951" s="42"/>
    </row>
    <row r="952">
      <c r="D952" s="42"/>
      <c r="E952" s="42"/>
      <c r="J952" s="42"/>
    </row>
    <row r="953">
      <c r="D953" s="42"/>
      <c r="E953" s="42"/>
      <c r="J953" s="42"/>
    </row>
    <row r="954">
      <c r="D954" s="42"/>
      <c r="E954" s="42"/>
      <c r="J954" s="42"/>
    </row>
    <row r="955">
      <c r="D955" s="42"/>
      <c r="E955" s="42"/>
      <c r="J955" s="42"/>
    </row>
    <row r="956">
      <c r="D956" s="42"/>
      <c r="E956" s="42"/>
      <c r="J956" s="42"/>
    </row>
    <row r="957">
      <c r="D957" s="42"/>
      <c r="E957" s="42"/>
      <c r="J957" s="42"/>
    </row>
    <row r="958">
      <c r="D958" s="42"/>
      <c r="E958" s="42"/>
      <c r="J958" s="42"/>
    </row>
    <row r="959">
      <c r="D959" s="42"/>
      <c r="E959" s="42"/>
      <c r="J959" s="42"/>
    </row>
    <row r="960">
      <c r="D960" s="42"/>
      <c r="E960" s="42"/>
      <c r="J960" s="42"/>
    </row>
    <row r="961">
      <c r="D961" s="42"/>
      <c r="E961" s="42"/>
      <c r="J961" s="42"/>
    </row>
    <row r="962">
      <c r="D962" s="42"/>
      <c r="E962" s="42"/>
      <c r="J962" s="42"/>
    </row>
    <row r="963">
      <c r="D963" s="42"/>
      <c r="E963" s="42"/>
      <c r="J963" s="42"/>
    </row>
    <row r="964">
      <c r="D964" s="42"/>
      <c r="E964" s="42"/>
      <c r="J964" s="42"/>
    </row>
    <row r="965">
      <c r="D965" s="42"/>
      <c r="E965" s="42"/>
      <c r="J965" s="42"/>
    </row>
    <row r="966">
      <c r="D966" s="42"/>
      <c r="E966" s="42"/>
      <c r="J966" s="42"/>
    </row>
    <row r="967">
      <c r="D967" s="42"/>
      <c r="E967" s="42"/>
      <c r="J967" s="42"/>
    </row>
    <row r="968">
      <c r="D968" s="42"/>
      <c r="E968" s="42"/>
      <c r="J968" s="42"/>
    </row>
    <row r="969">
      <c r="D969" s="42"/>
      <c r="E969" s="42"/>
      <c r="J969" s="42"/>
    </row>
    <row r="970">
      <c r="D970" s="42"/>
      <c r="E970" s="42"/>
      <c r="J970" s="42"/>
    </row>
    <row r="971">
      <c r="D971" s="42"/>
      <c r="E971" s="42"/>
      <c r="J971" s="42"/>
    </row>
    <row r="972">
      <c r="D972" s="42"/>
      <c r="E972" s="42"/>
      <c r="J972" s="42"/>
    </row>
    <row r="973">
      <c r="D973" s="42"/>
      <c r="E973" s="42"/>
      <c r="J973" s="42"/>
    </row>
    <row r="974">
      <c r="D974" s="42"/>
      <c r="E974" s="42"/>
      <c r="J974" s="42"/>
    </row>
    <row r="975">
      <c r="D975" s="42"/>
      <c r="E975" s="42"/>
      <c r="J975" s="42"/>
    </row>
    <row r="976">
      <c r="D976" s="42"/>
      <c r="E976" s="42"/>
      <c r="J976" s="42"/>
    </row>
    <row r="977">
      <c r="D977" s="42"/>
      <c r="E977" s="42"/>
      <c r="J977" s="42"/>
    </row>
    <row r="978">
      <c r="D978" s="42"/>
      <c r="E978" s="42"/>
      <c r="J978" s="42"/>
    </row>
    <row r="979">
      <c r="D979" s="42"/>
      <c r="E979" s="42"/>
      <c r="J979" s="42"/>
    </row>
    <row r="980">
      <c r="D980" s="42"/>
      <c r="E980" s="42"/>
      <c r="J980" s="42"/>
    </row>
    <row r="981">
      <c r="D981" s="42"/>
      <c r="E981" s="42"/>
      <c r="J981" s="42"/>
    </row>
    <row r="982">
      <c r="D982" s="42"/>
      <c r="E982" s="42"/>
      <c r="J982" s="42"/>
    </row>
    <row r="983">
      <c r="D983" s="42"/>
      <c r="E983" s="42"/>
      <c r="J983" s="42"/>
    </row>
    <row r="984">
      <c r="D984" s="42"/>
      <c r="E984" s="42"/>
      <c r="J984" s="42"/>
    </row>
    <row r="985">
      <c r="D985" s="42"/>
      <c r="E985" s="42"/>
      <c r="J985" s="42"/>
    </row>
    <row r="986">
      <c r="D986" s="42"/>
      <c r="E986" s="42"/>
      <c r="J986" s="42"/>
    </row>
    <row r="987">
      <c r="D987" s="42"/>
      <c r="E987" s="42"/>
      <c r="J987" s="42"/>
    </row>
    <row r="988">
      <c r="D988" s="42"/>
      <c r="E988" s="42"/>
      <c r="J988" s="42"/>
    </row>
    <row r="989">
      <c r="D989" s="42"/>
      <c r="E989" s="42"/>
      <c r="J989" s="42"/>
    </row>
    <row r="990">
      <c r="D990" s="42"/>
      <c r="E990" s="42"/>
      <c r="J990" s="42"/>
    </row>
    <row r="991">
      <c r="D991" s="42"/>
      <c r="E991" s="42"/>
      <c r="J991" s="42"/>
    </row>
    <row r="992">
      <c r="D992" s="42"/>
      <c r="E992" s="42"/>
      <c r="J992" s="42"/>
    </row>
    <row r="993">
      <c r="D993" s="42"/>
      <c r="E993" s="42"/>
      <c r="J993" s="42"/>
    </row>
    <row r="994">
      <c r="D994" s="42"/>
      <c r="E994" s="42"/>
      <c r="J994" s="42"/>
    </row>
    <row r="995">
      <c r="D995" s="42"/>
      <c r="E995" s="42"/>
      <c r="J995" s="42"/>
    </row>
    <row r="996">
      <c r="D996" s="42"/>
      <c r="E996" s="42"/>
      <c r="J996" s="42"/>
    </row>
    <row r="997">
      <c r="D997" s="42"/>
      <c r="E997" s="42"/>
      <c r="J997" s="42"/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1.25" customHeight="1">
      <c r="A1" s="33" t="s">
        <v>93</v>
      </c>
      <c r="B1" s="33" t="s">
        <v>94</v>
      </c>
      <c r="C1" s="33" t="s">
        <v>95</v>
      </c>
      <c r="D1" s="33" t="s">
        <v>96</v>
      </c>
      <c r="E1" s="33" t="s">
        <v>97</v>
      </c>
      <c r="F1" s="33" t="s">
        <v>98</v>
      </c>
      <c r="G1" s="33" t="s">
        <v>99</v>
      </c>
      <c r="H1" s="33" t="s">
        <v>100</v>
      </c>
      <c r="I1" s="33" t="s">
        <v>101</v>
      </c>
      <c r="J1" s="33" t="s">
        <v>102</v>
      </c>
      <c r="K1" s="33" t="s">
        <v>103</v>
      </c>
      <c r="L1" s="33" t="s">
        <v>104</v>
      </c>
      <c r="M1" s="33" t="s">
        <v>105</v>
      </c>
      <c r="N1" s="33" t="s">
        <v>106</v>
      </c>
      <c r="O1" s="33" t="s">
        <v>107</v>
      </c>
      <c r="P1" s="33" t="s">
        <v>108</v>
      </c>
      <c r="Q1" s="33" t="s">
        <v>109</v>
      </c>
      <c r="R1" s="33" t="s">
        <v>110</v>
      </c>
      <c r="S1" s="34"/>
      <c r="T1" s="34"/>
      <c r="U1" s="34"/>
      <c r="V1" s="34"/>
      <c r="W1" s="34"/>
      <c r="X1" s="34"/>
      <c r="Y1" s="34"/>
      <c r="Z1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1.25" customHeight="1">
      <c r="A1" s="33" t="s">
        <v>93</v>
      </c>
      <c r="B1" s="33" t="s">
        <v>94</v>
      </c>
      <c r="C1" s="33" t="s">
        <v>95</v>
      </c>
      <c r="D1" s="33" t="s">
        <v>96</v>
      </c>
      <c r="E1" s="33" t="s">
        <v>97</v>
      </c>
      <c r="F1" s="33" t="s">
        <v>98</v>
      </c>
      <c r="G1" s="33" t="s">
        <v>99</v>
      </c>
      <c r="H1" s="33" t="s">
        <v>100</v>
      </c>
      <c r="I1" s="33" t="s">
        <v>101</v>
      </c>
      <c r="J1" s="33" t="s">
        <v>102</v>
      </c>
      <c r="K1" s="33" t="s">
        <v>103</v>
      </c>
      <c r="L1" s="33" t="s">
        <v>104</v>
      </c>
      <c r="M1" s="33" t="s">
        <v>105</v>
      </c>
      <c r="N1" s="33" t="s">
        <v>106</v>
      </c>
      <c r="O1" s="33" t="s">
        <v>107</v>
      </c>
      <c r="P1" s="33" t="s">
        <v>108</v>
      </c>
      <c r="Q1" s="33" t="s">
        <v>109</v>
      </c>
      <c r="R1" s="33" t="s">
        <v>110</v>
      </c>
      <c r="S1" s="34"/>
      <c r="T1" s="34"/>
      <c r="U1" s="34"/>
      <c r="V1" s="34"/>
      <c r="W1" s="34"/>
      <c r="X1" s="34"/>
      <c r="Y1" s="34"/>
      <c r="Z1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5.38"/>
  </cols>
  <sheetData>
    <row r="1" ht="41.25" customHeight="1">
      <c r="A1" s="33" t="s">
        <v>93</v>
      </c>
      <c r="B1" s="33" t="s">
        <v>94</v>
      </c>
      <c r="C1" s="33" t="s">
        <v>95</v>
      </c>
      <c r="D1" s="33" t="s">
        <v>96</v>
      </c>
      <c r="E1" s="33" t="s">
        <v>97</v>
      </c>
      <c r="F1" s="33" t="s">
        <v>98</v>
      </c>
      <c r="G1" s="33" t="s">
        <v>99</v>
      </c>
      <c r="H1" s="33" t="s">
        <v>100</v>
      </c>
      <c r="I1" s="33" t="s">
        <v>101</v>
      </c>
      <c r="J1" s="33" t="s">
        <v>102</v>
      </c>
      <c r="K1" s="33" t="s">
        <v>103</v>
      </c>
      <c r="L1" s="33" t="s">
        <v>104</v>
      </c>
      <c r="M1" s="33" t="s">
        <v>105</v>
      </c>
      <c r="N1" s="33" t="s">
        <v>106</v>
      </c>
      <c r="O1" s="33" t="s">
        <v>107</v>
      </c>
      <c r="P1" s="33" t="s">
        <v>108</v>
      </c>
      <c r="Q1" s="33" t="s">
        <v>109</v>
      </c>
      <c r="R1" s="33" t="s">
        <v>110</v>
      </c>
      <c r="S1" s="34"/>
      <c r="T1" s="34"/>
      <c r="U1" s="34"/>
      <c r="V1" s="34"/>
      <c r="W1" s="34"/>
      <c r="X1" s="34"/>
      <c r="Y1" s="34"/>
      <c r="Z1" s="34"/>
    </row>
    <row r="2" ht="27.0" customHeight="1">
      <c r="A2" s="35">
        <v>46311.852800925924</v>
      </c>
      <c r="B2" s="36" t="s">
        <v>213</v>
      </c>
      <c r="C2" s="36" t="s">
        <v>214</v>
      </c>
      <c r="D2" s="36" t="s">
        <v>215</v>
      </c>
      <c r="E2" s="36">
        <v>6.363910194E9</v>
      </c>
      <c r="F2" s="36" t="s">
        <v>216</v>
      </c>
      <c r="G2" s="36" t="s">
        <v>115</v>
      </c>
      <c r="H2" s="36" t="s">
        <v>126</v>
      </c>
      <c r="I2" s="36" t="s">
        <v>127</v>
      </c>
      <c r="J2" s="36">
        <v>50.0</v>
      </c>
      <c r="K2" s="36" t="s">
        <v>129</v>
      </c>
      <c r="L2" s="36" t="s">
        <v>129</v>
      </c>
      <c r="M2" s="36">
        <v>6.7</v>
      </c>
      <c r="N2" s="36">
        <v>10.0</v>
      </c>
      <c r="O2" s="36" t="s">
        <v>130</v>
      </c>
      <c r="P2" s="39"/>
      <c r="Q2" s="40" t="s">
        <v>217</v>
      </c>
      <c r="R2" s="36" t="s">
        <v>121</v>
      </c>
    </row>
  </sheetData>
  <hyperlinks>
    <hyperlink r:id="rId1" ref="Q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1.25" customHeight="1">
      <c r="A1" s="33" t="s">
        <v>93</v>
      </c>
      <c r="B1" s="33" t="s">
        <v>94</v>
      </c>
      <c r="C1" s="33" t="s">
        <v>95</v>
      </c>
      <c r="D1" s="33" t="s">
        <v>96</v>
      </c>
      <c r="E1" s="33" t="s">
        <v>97</v>
      </c>
      <c r="F1" s="33" t="s">
        <v>98</v>
      </c>
      <c r="G1" s="33" t="s">
        <v>99</v>
      </c>
      <c r="H1" s="33" t="s">
        <v>100</v>
      </c>
      <c r="I1" s="33" t="s">
        <v>101</v>
      </c>
      <c r="J1" s="33" t="s">
        <v>102</v>
      </c>
      <c r="K1" s="33" t="s">
        <v>103</v>
      </c>
      <c r="L1" s="33" t="s">
        <v>104</v>
      </c>
      <c r="M1" s="33" t="s">
        <v>105</v>
      </c>
      <c r="N1" s="33" t="s">
        <v>106</v>
      </c>
      <c r="O1" s="33" t="s">
        <v>107</v>
      </c>
      <c r="P1" s="33" t="s">
        <v>108</v>
      </c>
      <c r="Q1" s="33" t="s">
        <v>109</v>
      </c>
      <c r="R1" s="33" t="s">
        <v>110</v>
      </c>
      <c r="S1" s="34"/>
      <c r="T1" s="34"/>
      <c r="U1" s="34"/>
      <c r="V1" s="34"/>
      <c r="W1" s="34"/>
      <c r="X1" s="34"/>
      <c r="Y1" s="34"/>
      <c r="Z1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1.25" customHeight="1">
      <c r="A1" s="33" t="s">
        <v>93</v>
      </c>
      <c r="B1" s="33" t="s">
        <v>94</v>
      </c>
      <c r="C1" s="33" t="s">
        <v>95</v>
      </c>
      <c r="D1" s="33" t="s">
        <v>96</v>
      </c>
      <c r="E1" s="33" t="s">
        <v>97</v>
      </c>
      <c r="F1" s="33" t="s">
        <v>98</v>
      </c>
      <c r="G1" s="33" t="s">
        <v>99</v>
      </c>
      <c r="H1" s="33" t="s">
        <v>100</v>
      </c>
      <c r="I1" s="33" t="s">
        <v>101</v>
      </c>
      <c r="J1" s="33" t="s">
        <v>102</v>
      </c>
      <c r="K1" s="33" t="s">
        <v>103</v>
      </c>
      <c r="L1" s="33" t="s">
        <v>104</v>
      </c>
      <c r="M1" s="33" t="s">
        <v>105</v>
      </c>
      <c r="N1" s="33" t="s">
        <v>106</v>
      </c>
      <c r="O1" s="33" t="s">
        <v>107</v>
      </c>
      <c r="P1" s="33" t="s">
        <v>108</v>
      </c>
      <c r="Q1" s="33" t="s">
        <v>109</v>
      </c>
      <c r="R1" s="33" t="s">
        <v>110</v>
      </c>
      <c r="S1" s="34"/>
      <c r="T1" s="34"/>
      <c r="U1" s="34"/>
      <c r="V1" s="34"/>
      <c r="W1" s="34"/>
      <c r="X1" s="34"/>
      <c r="Y1" s="34"/>
      <c r="Z1" s="3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1.25" customHeight="1">
      <c r="A1" s="33" t="s">
        <v>93</v>
      </c>
      <c r="B1" s="33" t="s">
        <v>94</v>
      </c>
      <c r="C1" s="33" t="s">
        <v>95</v>
      </c>
      <c r="D1" s="33" t="s">
        <v>96</v>
      </c>
      <c r="E1" s="33" t="s">
        <v>97</v>
      </c>
      <c r="F1" s="33" t="s">
        <v>98</v>
      </c>
      <c r="G1" s="33" t="s">
        <v>99</v>
      </c>
      <c r="H1" s="33" t="s">
        <v>100</v>
      </c>
      <c r="I1" s="33" t="s">
        <v>101</v>
      </c>
      <c r="J1" s="33" t="s">
        <v>102</v>
      </c>
      <c r="K1" s="33" t="s">
        <v>103</v>
      </c>
      <c r="L1" s="33" t="s">
        <v>104</v>
      </c>
      <c r="M1" s="33" t="s">
        <v>105</v>
      </c>
      <c r="N1" s="33" t="s">
        <v>106</v>
      </c>
      <c r="O1" s="33" t="s">
        <v>107</v>
      </c>
      <c r="P1" s="33" t="s">
        <v>108</v>
      </c>
      <c r="Q1" s="33" t="s">
        <v>109</v>
      </c>
      <c r="R1" s="33" t="s">
        <v>110</v>
      </c>
      <c r="S1" s="34"/>
      <c r="T1" s="34"/>
      <c r="U1" s="34"/>
      <c r="V1" s="34"/>
      <c r="W1" s="34"/>
      <c r="X1" s="34"/>
      <c r="Y1" s="34"/>
      <c r="Z1" s="3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1.25" customHeight="1">
      <c r="A1" s="33" t="s">
        <v>93</v>
      </c>
      <c r="B1" s="33" t="s">
        <v>94</v>
      </c>
      <c r="C1" s="33" t="s">
        <v>95</v>
      </c>
      <c r="D1" s="33" t="s">
        <v>96</v>
      </c>
      <c r="E1" s="33" t="s">
        <v>97</v>
      </c>
      <c r="F1" s="33" t="s">
        <v>98</v>
      </c>
      <c r="G1" s="33" t="s">
        <v>99</v>
      </c>
      <c r="H1" s="33" t="s">
        <v>100</v>
      </c>
      <c r="I1" s="33" t="s">
        <v>101</v>
      </c>
      <c r="J1" s="33" t="s">
        <v>102</v>
      </c>
      <c r="K1" s="33" t="s">
        <v>103</v>
      </c>
      <c r="L1" s="33" t="s">
        <v>104</v>
      </c>
      <c r="M1" s="33" t="s">
        <v>105</v>
      </c>
      <c r="N1" s="33" t="s">
        <v>106</v>
      </c>
      <c r="O1" s="33" t="s">
        <v>107</v>
      </c>
      <c r="P1" s="33" t="s">
        <v>108</v>
      </c>
      <c r="Q1" s="33" t="s">
        <v>109</v>
      </c>
      <c r="R1" s="33" t="s">
        <v>110</v>
      </c>
      <c r="S1" s="34"/>
      <c r="T1" s="34"/>
      <c r="U1" s="34"/>
      <c r="V1" s="34"/>
      <c r="W1" s="34"/>
      <c r="X1" s="34"/>
      <c r="Y1" s="34"/>
      <c r="Z1" s="34"/>
    </row>
    <row r="2">
      <c r="A2" s="43">
        <v>46311.43597222222</v>
      </c>
      <c r="B2" s="44" t="s">
        <v>218</v>
      </c>
      <c r="C2" s="44" t="s">
        <v>219</v>
      </c>
      <c r="D2" s="44" t="s">
        <v>220</v>
      </c>
      <c r="E2" s="44">
        <v>9.284970698E9</v>
      </c>
      <c r="F2" s="44" t="s">
        <v>221</v>
      </c>
      <c r="G2" s="44" t="s">
        <v>190</v>
      </c>
      <c r="H2" s="44" t="s">
        <v>126</v>
      </c>
      <c r="I2" s="44" t="s">
        <v>222</v>
      </c>
      <c r="J2" s="44">
        <v>100.0</v>
      </c>
      <c r="K2" s="44" t="s">
        <v>223</v>
      </c>
      <c r="L2" s="44" t="s">
        <v>224</v>
      </c>
      <c r="M2" s="44">
        <v>0.0</v>
      </c>
      <c r="N2" s="44" t="s">
        <v>225</v>
      </c>
      <c r="O2" s="44" t="s">
        <v>149</v>
      </c>
      <c r="P2" s="45"/>
      <c r="Q2" s="46" t="s">
        <v>226</v>
      </c>
      <c r="R2" s="44" t="s">
        <v>121</v>
      </c>
    </row>
    <row r="3">
      <c r="A3" s="43">
        <v>46310.80751157407</v>
      </c>
      <c r="B3" s="44" t="s">
        <v>158</v>
      </c>
      <c r="C3" s="44" t="s">
        <v>159</v>
      </c>
      <c r="D3" s="44" t="s">
        <v>160</v>
      </c>
      <c r="E3" s="44">
        <v>8.43169017E9</v>
      </c>
      <c r="F3" s="44" t="s">
        <v>161</v>
      </c>
      <c r="G3" s="44" t="s">
        <v>125</v>
      </c>
      <c r="H3" s="44" t="s">
        <v>126</v>
      </c>
      <c r="I3" s="44" t="s">
        <v>162</v>
      </c>
      <c r="J3" s="44">
        <v>50.0</v>
      </c>
      <c r="K3" s="44" t="s">
        <v>163</v>
      </c>
      <c r="L3" s="44" t="s">
        <v>164</v>
      </c>
      <c r="M3" s="44">
        <v>4.6</v>
      </c>
      <c r="N3" s="44" t="s">
        <v>165</v>
      </c>
      <c r="O3" s="44" t="s">
        <v>130</v>
      </c>
      <c r="P3" s="45"/>
      <c r="Q3" s="46" t="s">
        <v>166</v>
      </c>
      <c r="R3" s="44" t="s">
        <v>121</v>
      </c>
    </row>
  </sheetData>
  <hyperlinks>
    <hyperlink r:id="rId1" ref="Q2"/>
    <hyperlink r:id="rId2" ref="Q3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